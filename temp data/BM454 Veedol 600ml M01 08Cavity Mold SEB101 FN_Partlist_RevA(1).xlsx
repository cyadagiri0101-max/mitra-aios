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4235" activeTab="4"/>
  </bookViews>
  <sheets>
    <sheet name="COST-SUMMARY" sheetId="2" r:id="rId1"/>
    <sheet name="Mold and Mask Parts" sheetId="1" r:id="rId2"/>
    <sheet name="Mold Base Parts " sheetId="37" r:id="rId3"/>
    <sheet name="Standard Parts " sheetId="38" r:id="rId4"/>
    <sheet name="Fastners" sheetId="39" r:id="rId5"/>
    <sheet name="Elec" sheetId="40" r:id="rId6"/>
    <sheet name="Partlist- summary" sheetId="41" r:id="rId7"/>
    <sheet name="WQF" sheetId="36" state="hidden" r:id="rId8"/>
    <sheet name="SHEET1" sheetId="21" state="hidden" r:id="rId9"/>
  </sheets>
  <externalReferences>
    <externalReference r:id="rId10"/>
  </externalReferences>
  <definedNames>
    <definedName name="den">SHEET1!$C$1:$C$27</definedName>
    <definedName name="GRADE" localSheetId="6">[1]SHEET1!$A$1:$A$27</definedName>
    <definedName name="GRADE">SHEET1!$A$1:$A$27</definedName>
    <definedName name="MATERIAL" localSheetId="6">[1]SHEET1!$H$6:$H$8</definedName>
    <definedName name="MATERIAL">SHEET1!$H$6:$H$8</definedName>
    <definedName name="_xlnm.Print_Area" localSheetId="5">Elec!$A$1:$R$15</definedName>
    <definedName name="_xlnm.Print_Area" localSheetId="4">Fastners!$A$1:$L$34</definedName>
    <definedName name="_xlnm.Print_Area" localSheetId="1">'Mold and Mask Parts'!$A$1:$N$41</definedName>
    <definedName name="_xlnm.Print_Area" localSheetId="2">'Mold Base Parts '!$A$1:$N$19</definedName>
    <definedName name="_xlnm.Print_Area" localSheetId="3">'Standard Parts '!$A$1:$I$47</definedName>
  </definedNames>
  <calcPr calcId="152511"/>
</workbook>
</file>

<file path=xl/calcChain.xml><?xml version="1.0" encoding="utf-8"?>
<calcChain xmlns="http://schemas.openxmlformats.org/spreadsheetml/2006/main">
  <c r="J20" i="38" l="1"/>
  <c r="L20" i="38" s="1"/>
  <c r="V11" i="40"/>
  <c r="U11" i="40"/>
  <c r="T11" i="40"/>
  <c r="S11" i="40"/>
  <c r="V10" i="40"/>
  <c r="U10" i="40"/>
  <c r="T10" i="40"/>
  <c r="S10" i="40"/>
  <c r="V9" i="40"/>
  <c r="U9" i="40"/>
  <c r="T9" i="40"/>
  <c r="S9" i="40"/>
  <c r="W10" i="40" l="1"/>
  <c r="X10" i="40" s="1"/>
  <c r="Z10" i="40" s="1"/>
  <c r="W11" i="40"/>
  <c r="X11" i="40" s="1"/>
  <c r="Z11" i="40" s="1"/>
  <c r="W9" i="40"/>
  <c r="X9" i="40" s="1"/>
  <c r="Z9" i="40" s="1"/>
  <c r="R15" i="37"/>
  <c r="Q15" i="37"/>
  <c r="P15" i="37"/>
  <c r="O15" i="37"/>
  <c r="Q16" i="37"/>
  <c r="Q14" i="37"/>
  <c r="J18" i="38"/>
  <c r="L18" i="38" s="1"/>
  <c r="J40" i="38"/>
  <c r="L40" i="38" s="1"/>
  <c r="J39" i="38"/>
  <c r="L39" i="38" s="1"/>
  <c r="J38" i="38"/>
  <c r="L38" i="38" s="1"/>
  <c r="J37" i="38"/>
  <c r="L37" i="38" s="1"/>
  <c r="J36" i="38"/>
  <c r="L36" i="38" s="1"/>
  <c r="S15" i="37" l="1"/>
  <c r="T15" i="37"/>
  <c r="V15" i="37" s="1"/>
  <c r="J15" i="39"/>
  <c r="L15" i="39" s="1"/>
  <c r="J8" i="38"/>
  <c r="L8" i="38" s="1"/>
  <c r="J10" i="38" l="1"/>
  <c r="L10" i="38" s="1"/>
  <c r="S18" i="1"/>
  <c r="T18" i="1" s="1"/>
  <c r="V18" i="1" s="1"/>
  <c r="R16" i="37"/>
  <c r="P16" i="37"/>
  <c r="O16" i="37"/>
  <c r="S16" i="37" s="1"/>
  <c r="R14" i="37"/>
  <c r="P14" i="37"/>
  <c r="O14" i="37"/>
  <c r="S17" i="1"/>
  <c r="T17" i="1" s="1"/>
  <c r="V17" i="1" s="1"/>
  <c r="S16" i="1"/>
  <c r="T16" i="1" s="1"/>
  <c r="V16" i="1" s="1"/>
  <c r="S14" i="37" l="1"/>
  <c r="T14" i="37" s="1"/>
  <c r="V14" i="37" s="1"/>
  <c r="T16" i="37"/>
  <c r="V16" i="37" s="1"/>
  <c r="R21" i="1" l="1"/>
  <c r="Q21" i="1"/>
  <c r="P21" i="1"/>
  <c r="O21" i="1"/>
  <c r="S21" i="1" s="1"/>
  <c r="R20" i="1"/>
  <c r="Q20" i="1"/>
  <c r="P20" i="1"/>
  <c r="O20" i="1"/>
  <c r="S20" i="1" l="1"/>
  <c r="T20" i="1" s="1"/>
  <c r="V20" i="1" s="1"/>
  <c r="T21" i="1"/>
  <c r="V21" i="1" s="1"/>
  <c r="J17" i="38"/>
  <c r="L17" i="38" s="1"/>
  <c r="R14" i="1" l="1"/>
  <c r="Q14" i="1"/>
  <c r="P14" i="1"/>
  <c r="O14" i="1"/>
  <c r="R15" i="1"/>
  <c r="Q15" i="1"/>
  <c r="P15" i="1"/>
  <c r="O15" i="1"/>
  <c r="J15" i="38"/>
  <c r="L15" i="38" s="1"/>
  <c r="S15" i="1" l="1"/>
  <c r="T15" i="1" s="1"/>
  <c r="V15" i="1" s="1"/>
  <c r="S14" i="1"/>
  <c r="T14" i="1" s="1"/>
  <c r="V14" i="1" s="1"/>
  <c r="R11" i="1"/>
  <c r="Q11" i="1"/>
  <c r="P11" i="1"/>
  <c r="O11" i="1"/>
  <c r="R13" i="1"/>
  <c r="Q13" i="1"/>
  <c r="P13" i="1"/>
  <c r="O13" i="1"/>
  <c r="S11" i="1" l="1"/>
  <c r="T11" i="1" s="1"/>
  <c r="V11" i="1" s="1"/>
  <c r="S13" i="1"/>
  <c r="T13" i="1" s="1"/>
  <c r="V13" i="1" s="1"/>
  <c r="J11" i="38"/>
  <c r="L11" i="38" s="1"/>
  <c r="J6" i="38" l="1"/>
  <c r="L6" i="38" s="1"/>
  <c r="J7" i="38"/>
  <c r="L7" i="38" s="1"/>
  <c r="J9" i="38"/>
  <c r="L9" i="38" s="1"/>
  <c r="J12" i="38"/>
  <c r="L12" i="38" s="1"/>
  <c r="J13" i="38"/>
  <c r="L13" i="38" s="1"/>
  <c r="J14" i="38"/>
  <c r="L14" i="38" s="1"/>
  <c r="J16" i="38"/>
  <c r="L16" i="38" s="1"/>
  <c r="J19" i="38"/>
  <c r="L19" i="38" s="1"/>
  <c r="V50" i="40"/>
  <c r="T50" i="40"/>
  <c r="S50" i="40"/>
  <c r="V12" i="40"/>
  <c r="U12" i="40"/>
  <c r="T12" i="40"/>
  <c r="S12" i="40"/>
  <c r="V8" i="40"/>
  <c r="U8" i="40"/>
  <c r="T8" i="40"/>
  <c r="S8" i="40"/>
  <c r="V7" i="40"/>
  <c r="U7" i="40"/>
  <c r="T7" i="40"/>
  <c r="S7" i="40"/>
  <c r="V6" i="40"/>
  <c r="T6" i="40"/>
  <c r="S6" i="40"/>
  <c r="J62" i="39"/>
  <c r="L62" i="39" s="1"/>
  <c r="J32" i="39"/>
  <c r="L32" i="39" s="1"/>
  <c r="J31" i="39"/>
  <c r="L31" i="39" s="1"/>
  <c r="J30" i="39"/>
  <c r="L30" i="39" s="1"/>
  <c r="J29" i="39"/>
  <c r="L29" i="39" s="1"/>
  <c r="J28" i="39"/>
  <c r="L28" i="39" s="1"/>
  <c r="J27" i="39"/>
  <c r="L27" i="39" s="1"/>
  <c r="J26" i="39"/>
  <c r="L26" i="39" s="1"/>
  <c r="J25" i="39"/>
  <c r="L25" i="39" s="1"/>
  <c r="J24" i="39"/>
  <c r="L24" i="39" s="1"/>
  <c r="J23" i="39"/>
  <c r="L23" i="39" s="1"/>
  <c r="J22" i="39"/>
  <c r="L22" i="39" s="1"/>
  <c r="J21" i="39"/>
  <c r="L21" i="39" s="1"/>
  <c r="J20" i="39"/>
  <c r="L20" i="39" s="1"/>
  <c r="J16" i="39"/>
  <c r="L16" i="39" s="1"/>
  <c r="J14" i="39"/>
  <c r="L14" i="39" s="1"/>
  <c r="J13" i="39"/>
  <c r="L13" i="39" s="1"/>
  <c r="J12" i="39"/>
  <c r="L12" i="39" s="1"/>
  <c r="J11" i="39"/>
  <c r="L11" i="39" s="1"/>
  <c r="J10" i="39"/>
  <c r="L10" i="39" s="1"/>
  <c r="J9" i="39"/>
  <c r="L9" i="39" s="1"/>
  <c r="J8" i="39"/>
  <c r="L8" i="39" s="1"/>
  <c r="J7" i="39"/>
  <c r="L7" i="39" s="1"/>
  <c r="J6" i="39"/>
  <c r="L6" i="39" s="1"/>
  <c r="J33" i="38"/>
  <c r="L33" i="38" s="1"/>
  <c r="J32" i="38"/>
  <c r="L32" i="38" s="1"/>
  <c r="J31" i="38"/>
  <c r="L31" i="38" s="1"/>
  <c r="J30" i="38"/>
  <c r="L30" i="38" s="1"/>
  <c r="J29" i="38"/>
  <c r="L29" i="38" s="1"/>
  <c r="J28" i="38"/>
  <c r="L28" i="38" s="1"/>
  <c r="J27" i="38"/>
  <c r="L27" i="38" s="1"/>
  <c r="J26" i="38"/>
  <c r="L26" i="38" s="1"/>
  <c r="J25" i="38"/>
  <c r="L25" i="38" s="1"/>
  <c r="J24" i="38"/>
  <c r="L24" i="38" s="1"/>
  <c r="W12" i="40" l="1"/>
  <c r="X12" i="40" s="1"/>
  <c r="W50" i="40"/>
  <c r="X50" i="40" s="1"/>
  <c r="Z50" i="40" s="1"/>
  <c r="W8" i="40"/>
  <c r="X8" i="40" s="1"/>
  <c r="Z8" i="40" s="1"/>
  <c r="W6" i="40"/>
  <c r="X6" i="40" s="1"/>
  <c r="Z6" i="40" s="1"/>
  <c r="L21" i="38"/>
  <c r="L33" i="39"/>
  <c r="W7" i="40"/>
  <c r="X7" i="40" s="1"/>
  <c r="Z7" i="40" s="1"/>
  <c r="L17" i="39"/>
  <c r="L46" i="38"/>
  <c r="L34" i="39" l="1"/>
  <c r="C7" i="2" s="1"/>
  <c r="L47" i="38"/>
  <c r="C6" i="2" s="1"/>
  <c r="Z15" i="40"/>
  <c r="C8" i="2" s="1"/>
  <c r="R45" i="37" l="1"/>
  <c r="Q45" i="37"/>
  <c r="P45" i="37"/>
  <c r="O45" i="37"/>
  <c r="R44" i="37"/>
  <c r="Q44" i="37"/>
  <c r="P44" i="37"/>
  <c r="O44" i="37"/>
  <c r="S44" i="37" s="1"/>
  <c r="T44" i="37" s="1"/>
  <c r="V44" i="37" s="1"/>
  <c r="R43" i="37"/>
  <c r="Q43" i="37"/>
  <c r="P43" i="37"/>
  <c r="O43" i="37"/>
  <c r="S13" i="37"/>
  <c r="T13" i="37" s="1"/>
  <c r="V13" i="37" s="1"/>
  <c r="R12" i="37"/>
  <c r="Q12" i="37"/>
  <c r="P12" i="37"/>
  <c r="O12" i="37"/>
  <c r="S12" i="37" s="1"/>
  <c r="R11" i="37"/>
  <c r="P11" i="37"/>
  <c r="O11" i="37"/>
  <c r="R10" i="37"/>
  <c r="P10" i="37"/>
  <c r="O10" i="37"/>
  <c r="R9" i="37"/>
  <c r="Q9" i="37"/>
  <c r="P9" i="37"/>
  <c r="O9" i="37"/>
  <c r="S9" i="37" s="1"/>
  <c r="R8" i="37"/>
  <c r="Q8" i="37"/>
  <c r="P8" i="37"/>
  <c r="O8" i="37"/>
  <c r="R7" i="37"/>
  <c r="Q7" i="37"/>
  <c r="P7" i="37"/>
  <c r="O7" i="37"/>
  <c r="R6" i="37"/>
  <c r="Q6" i="37"/>
  <c r="P6" i="37"/>
  <c r="O6" i="37"/>
  <c r="S6" i="37" s="1"/>
  <c r="T6" i="37" l="1"/>
  <c r="V6" i="37" s="1"/>
  <c r="S45" i="37"/>
  <c r="T45" i="37" s="1"/>
  <c r="V45" i="37" s="1"/>
  <c r="S7" i="37"/>
  <c r="T7" i="37" s="1"/>
  <c r="V7" i="37" s="1"/>
  <c r="S43" i="37"/>
  <c r="S8" i="37"/>
  <c r="S11" i="37"/>
  <c r="S10" i="37"/>
  <c r="T10" i="37" s="1"/>
  <c r="V10" i="37" s="1"/>
  <c r="T11" i="37"/>
  <c r="V11" i="37" s="1"/>
  <c r="T8" i="37"/>
  <c r="V8" i="37" s="1"/>
  <c r="T43" i="37"/>
  <c r="V43" i="37" s="1"/>
  <c r="T12" i="37"/>
  <c r="V12" i="37" s="1"/>
  <c r="T9" i="37"/>
  <c r="V9" i="37" s="1"/>
  <c r="V19" i="37" l="1"/>
  <c r="C5" i="2" s="1"/>
  <c r="Q37" i="1"/>
  <c r="Q36" i="1"/>
  <c r="R37" i="1"/>
  <c r="P37" i="1"/>
  <c r="O37" i="1"/>
  <c r="S37" i="1" l="1"/>
  <c r="T37" i="1" s="1"/>
  <c r="V37" i="1" s="1"/>
  <c r="R19" i="1" l="1"/>
  <c r="Q19" i="1"/>
  <c r="P19" i="1"/>
  <c r="O19" i="1"/>
  <c r="R26" i="1"/>
  <c r="Q26" i="1"/>
  <c r="P26" i="1"/>
  <c r="O26" i="1"/>
  <c r="S19" i="1" l="1"/>
  <c r="T19" i="1" s="1"/>
  <c r="V19" i="1" s="1"/>
  <c r="S26" i="1"/>
  <c r="T26" i="1" s="1"/>
  <c r="V26" i="1" s="1"/>
  <c r="R8" i="1" l="1"/>
  <c r="Q8" i="1"/>
  <c r="P8" i="1"/>
  <c r="O8" i="1"/>
  <c r="S8" i="1" l="1"/>
  <c r="T8" i="1" s="1"/>
  <c r="V8" i="1" s="1"/>
  <c r="O64" i="1" l="1"/>
  <c r="P64" i="1"/>
  <c r="Q64" i="1"/>
  <c r="R64" i="1"/>
  <c r="S64" i="1" l="1"/>
  <c r="T64" i="1" s="1"/>
  <c r="V64" i="1" s="1"/>
  <c r="Q12" i="1" l="1"/>
  <c r="O7" i="1"/>
  <c r="P7" i="1"/>
  <c r="Q7" i="1"/>
  <c r="R7" i="1"/>
  <c r="S7" i="1" l="1"/>
  <c r="T7" i="1" s="1"/>
  <c r="V7" i="1" s="1"/>
  <c r="R62" i="1" l="1"/>
  <c r="Q62" i="1"/>
  <c r="P62" i="1"/>
  <c r="O62" i="1"/>
  <c r="S62" i="1" l="1"/>
  <c r="T62" i="1" s="1"/>
  <c r="V62" i="1" s="1"/>
  <c r="R12" i="1" l="1"/>
  <c r="P12" i="1"/>
  <c r="O12" i="1"/>
  <c r="S12" i="1" l="1"/>
  <c r="T12" i="1" s="1"/>
  <c r="V12" i="1" s="1"/>
  <c r="R35" i="1" l="1"/>
  <c r="P35" i="1"/>
  <c r="O35" i="1"/>
  <c r="S35" i="1" l="1"/>
  <c r="T35" i="1" s="1"/>
  <c r="V35" i="1" s="1"/>
  <c r="R29" i="1" l="1"/>
  <c r="Q29" i="1"/>
  <c r="P29" i="1"/>
  <c r="O29" i="1"/>
  <c r="S29" i="1" l="1"/>
  <c r="T29" i="1" s="1"/>
  <c r="V29" i="1" s="1"/>
  <c r="R36" i="1" l="1"/>
  <c r="P36" i="1"/>
  <c r="O36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8" i="1"/>
  <c r="Q28" i="1"/>
  <c r="P28" i="1"/>
  <c r="O28" i="1"/>
  <c r="R27" i="1"/>
  <c r="Q27" i="1"/>
  <c r="P27" i="1"/>
  <c r="O27" i="1"/>
  <c r="R25" i="1"/>
  <c r="Q25" i="1"/>
  <c r="P25" i="1"/>
  <c r="O25" i="1"/>
  <c r="R24" i="1"/>
  <c r="Q24" i="1"/>
  <c r="P24" i="1"/>
  <c r="O24" i="1"/>
  <c r="S24" i="1" l="1"/>
  <c r="T24" i="1" s="1"/>
  <c r="V24" i="1" s="1"/>
  <c r="S25" i="1"/>
  <c r="T25" i="1" s="1"/>
  <c r="V25" i="1" s="1"/>
  <c r="S27" i="1"/>
  <c r="T27" i="1" s="1"/>
  <c r="V27" i="1" s="1"/>
  <c r="S28" i="1"/>
  <c r="T28" i="1" s="1"/>
  <c r="V28" i="1" s="1"/>
  <c r="S30" i="1"/>
  <c r="T30" i="1" s="1"/>
  <c r="V30" i="1" s="1"/>
  <c r="S31" i="1"/>
  <c r="T31" i="1" s="1"/>
  <c r="V31" i="1" s="1"/>
  <c r="S32" i="1"/>
  <c r="T32" i="1" s="1"/>
  <c r="V32" i="1" s="1"/>
  <c r="S33" i="1"/>
  <c r="T33" i="1" s="1"/>
  <c r="V33" i="1" s="1"/>
  <c r="S34" i="1"/>
  <c r="T34" i="1" s="1"/>
  <c r="V34" i="1" s="1"/>
  <c r="S36" i="1"/>
  <c r="T36" i="1" s="1"/>
  <c r="V36" i="1" s="1"/>
  <c r="V39" i="1" l="1"/>
  <c r="C4" i="2" s="1"/>
  <c r="O10" i="1" l="1"/>
  <c r="P10" i="1"/>
  <c r="Q10" i="1"/>
  <c r="R10" i="1"/>
  <c r="S10" i="1" l="1"/>
  <c r="T10" i="1" s="1"/>
  <c r="V10" i="1" s="1"/>
  <c r="R68" i="1" l="1"/>
  <c r="Q68" i="1"/>
  <c r="P68" i="1"/>
  <c r="O68" i="1"/>
  <c r="R67" i="1"/>
  <c r="Q67" i="1"/>
  <c r="P67" i="1"/>
  <c r="O67" i="1"/>
  <c r="R66" i="1"/>
  <c r="Q66" i="1"/>
  <c r="P66" i="1"/>
  <c r="O66" i="1"/>
  <c r="S66" i="1" l="1"/>
  <c r="T66" i="1" s="1"/>
  <c r="V66" i="1" s="1"/>
  <c r="S68" i="1"/>
  <c r="T68" i="1" s="1"/>
  <c r="V68" i="1" s="1"/>
  <c r="S67" i="1"/>
  <c r="T67" i="1" s="1"/>
  <c r="V67" i="1" s="1"/>
  <c r="R9" i="1"/>
  <c r="Q9" i="1"/>
  <c r="P9" i="1"/>
  <c r="O9" i="1"/>
  <c r="S9" i="1" l="1"/>
  <c r="T9" i="1" s="1"/>
  <c r="V9" i="1" s="1"/>
  <c r="R10" i="36" l="1"/>
  <c r="P10" i="36"/>
  <c r="O10" i="36"/>
  <c r="R8" i="36"/>
  <c r="Q8" i="36"/>
  <c r="P8" i="36"/>
  <c r="O8" i="36"/>
  <c r="S8" i="36" l="1"/>
  <c r="T8" i="36" s="1"/>
  <c r="V8" i="36" s="1"/>
  <c r="S10" i="36"/>
  <c r="T10" i="36" s="1"/>
  <c r="V10" i="36" s="1"/>
  <c r="R6" i="1" l="1"/>
  <c r="Q6" i="1" l="1"/>
  <c r="P6" i="1"/>
  <c r="O6" i="1"/>
  <c r="S6" i="1" l="1"/>
  <c r="T6" i="1" s="1"/>
  <c r="V6" i="1" s="1"/>
  <c r="V22" i="1" s="1"/>
  <c r="V40" i="1" l="1"/>
  <c r="C3" i="2"/>
  <c r="C9" i="2" s="1"/>
</calcChain>
</file>

<file path=xl/sharedStrings.xml><?xml version="1.0" encoding="utf-8"?>
<sst xmlns="http://schemas.openxmlformats.org/spreadsheetml/2006/main" count="885" uniqueCount="329">
  <si>
    <t>PRATHIRAJ METAL MASTERS PVT.LTD</t>
  </si>
  <si>
    <t>S.NO</t>
  </si>
  <si>
    <t>DESCRIPTION</t>
  </si>
  <si>
    <t>MATERIAL</t>
  </si>
  <si>
    <t>FINISHED SIZES</t>
  </si>
  <si>
    <t>REMARKS</t>
  </si>
  <si>
    <t>Length/Dia</t>
  </si>
  <si>
    <t>Height</t>
  </si>
  <si>
    <t>Width</t>
  </si>
  <si>
    <t>Qty</t>
  </si>
  <si>
    <t>Weight</t>
  </si>
  <si>
    <t>Rate</t>
  </si>
  <si>
    <t>Amount</t>
  </si>
  <si>
    <t>Description</t>
  </si>
  <si>
    <t>Amount - Rs</t>
  </si>
  <si>
    <t>Cost of Inserts</t>
  </si>
  <si>
    <t>Cost of Fastners</t>
  </si>
  <si>
    <t xml:space="preserve">Total Amount :- </t>
  </si>
  <si>
    <t>QTY</t>
  </si>
  <si>
    <t xml:space="preserve">ITEM:- INSERTS/MAIN PARTS </t>
  </si>
  <si>
    <t>x</t>
  </si>
  <si>
    <t>ALUMINIUM</t>
  </si>
  <si>
    <t>1,2085</t>
  </si>
  <si>
    <t>Cost of Electrodes</t>
  </si>
  <si>
    <t>COPPER</t>
  </si>
  <si>
    <t>1,2085/M315/2316</t>
  </si>
  <si>
    <t>+</t>
  </si>
  <si>
    <t>D2</t>
  </si>
  <si>
    <t>WELDURAL</t>
  </si>
  <si>
    <t>NYLON</t>
  </si>
  <si>
    <t>BERILIUM COPPER</t>
  </si>
  <si>
    <t>1,2085/RAMAX</t>
  </si>
  <si>
    <t>K340</t>
  </si>
  <si>
    <t>M315</t>
  </si>
  <si>
    <t>K340/M315</t>
  </si>
  <si>
    <t>3,3547</t>
  </si>
  <si>
    <t>3,4365</t>
  </si>
  <si>
    <t>3,3206</t>
  </si>
  <si>
    <t>1,2085/D2</t>
  </si>
  <si>
    <t>RAMAX</t>
  </si>
  <si>
    <t xml:space="preserve">BRASS </t>
  </si>
  <si>
    <t>BRONZE</t>
  </si>
  <si>
    <t>ACRYLIC</t>
  </si>
  <si>
    <t>ABS</t>
  </si>
  <si>
    <r>
      <rPr>
        <sz val="11"/>
        <color theme="1"/>
        <rFont val="Arial"/>
        <family val="2"/>
      </rPr>
      <t>Ø</t>
    </r>
  </si>
  <si>
    <t>Inserts Cost :</t>
  </si>
  <si>
    <t>Total
 Weight</t>
  </si>
  <si>
    <t>3mm sheet</t>
  </si>
  <si>
    <t>Mask Parts Cost :</t>
  </si>
  <si>
    <t>HOKOTOL/ALUMOLD1-500</t>
  </si>
  <si>
    <t>GRADE</t>
  </si>
  <si>
    <t>STEEL</t>
  </si>
  <si>
    <t>ALUMOLD1-500</t>
  </si>
  <si>
    <t>HOKOTOL</t>
  </si>
  <si>
    <t>FIBER</t>
  </si>
  <si>
    <t>HB/HRC</t>
  </si>
  <si>
    <t>HB-180</t>
  </si>
  <si>
    <t>Mc Model</t>
  </si>
  <si>
    <t>ITEM:- MASK ASSEMBLY</t>
  </si>
  <si>
    <t>CONNECTING PLATE</t>
  </si>
  <si>
    <t>NECK PART B2,P2</t>
  </si>
  <si>
    <t>Cost of Mask Parts</t>
  </si>
  <si>
    <t>Cost of Mold Base parts</t>
  </si>
  <si>
    <t>5083</t>
  </si>
  <si>
    <t>146-31=115</t>
  </si>
  <si>
    <t>126-31=95</t>
  </si>
  <si>
    <t xml:space="preserve">Total Amount: </t>
  </si>
  <si>
    <t>BERILIUM</t>
  </si>
  <si>
    <t>only 1mm stock</t>
  </si>
  <si>
    <t>58~60 HRC</t>
  </si>
  <si>
    <t>PINCH_PLATES_BODY- BL,BR, PL &amp; PR</t>
  </si>
  <si>
    <t>Cost of Standard parts</t>
  </si>
  <si>
    <t>BODY INSERT- B &amp; P</t>
  </si>
  <si>
    <t>BASE INSERT- B &amp; P</t>
  </si>
  <si>
    <t>NECK INSERT- B &amp; P</t>
  </si>
  <si>
    <t>STRIPPER PLATE*</t>
  </si>
  <si>
    <t>UPPER MASK BUSH SIDE</t>
  </si>
  <si>
    <t>LOWER MASK BUSH SIDE</t>
  </si>
  <si>
    <t>UPPER MASK PIN SIDE</t>
  </si>
  <si>
    <t>LOWER MASK PIN SIDE</t>
  </si>
  <si>
    <t>MOUNTING PLATE-1 (PARISON SIDE)</t>
  </si>
  <si>
    <t>MOUNTING PLATE-2 (TAKE OUT SIDE)</t>
  </si>
  <si>
    <t>MOUNTING_PUNCH_PLATE</t>
  </si>
  <si>
    <t xml:space="preserve">NECK PUNCH 1 </t>
  </si>
  <si>
    <t>NECK PUNCH 2</t>
  </si>
  <si>
    <t>PUNCH DISTANCE BOLTS</t>
  </si>
  <si>
    <r>
      <rPr>
        <sz val="11"/>
        <rFont val="Arial"/>
        <family val="2"/>
      </rPr>
      <t>Ø</t>
    </r>
  </si>
  <si>
    <t>2mm Sheet</t>
  </si>
  <si>
    <t xml:space="preserve">CONNECTION SHEET </t>
  </si>
  <si>
    <t>5mm Sheet</t>
  </si>
  <si>
    <t>SAND BLASTING SHEET</t>
  </si>
  <si>
    <t>non std</t>
  </si>
  <si>
    <t>STRIKER INSERT- B &amp; P*</t>
  </si>
  <si>
    <r>
      <t xml:space="preserve">COVERING SHEET </t>
    </r>
    <r>
      <rPr>
        <sz val="9"/>
        <rFont val="Calibri"/>
        <family val="2"/>
        <scheme val="minor"/>
      </rPr>
      <t>(BENDING SHEET)</t>
    </r>
  </si>
  <si>
    <t>BOTTOM INSERT- B &amp; P</t>
  </si>
  <si>
    <t>NECK PART B &amp; P</t>
  </si>
  <si>
    <t>COOLING PLATE- B &amp; P</t>
  </si>
  <si>
    <t>CONNECTION_SHEET_MASK_ARM</t>
  </si>
  <si>
    <t>TOOL NO : BM454 Veedol 600ml M01 08Cavity SEB Mold SEB101 FN</t>
  </si>
  <si>
    <t>PREPARED BY : Srikanth</t>
  </si>
  <si>
    <t>Date : 20-12-25</t>
  </si>
  <si>
    <t xml:space="preserve">APPROVED BY : Srikanth </t>
  </si>
  <si>
    <t>COST SUMMARY FOR -TOOL NO: BM454 Veedol 600ml M01 08Cavity SEB Mold SEB101 FN</t>
  </si>
  <si>
    <t xml:space="preserve">ITEM:-MOLD BASE PARTS </t>
  </si>
  <si>
    <t>COOLING BLOCK</t>
  </si>
  <si>
    <t>1.2085</t>
  </si>
  <si>
    <t>STRAP CLAMP</t>
  </si>
  <si>
    <t>SUPPORT BLOCK</t>
  </si>
  <si>
    <t>AIR DEFLECTOR SHEET</t>
  </si>
  <si>
    <t>3mm Sheet</t>
  </si>
  <si>
    <t>DISTANCE PIN WITH CUT OUT*</t>
  </si>
  <si>
    <t>DISTANCE PIN*</t>
  </si>
  <si>
    <t>BLOCKING WASHER*</t>
  </si>
  <si>
    <t>INNER LEAK TESTING HEAD</t>
  </si>
  <si>
    <t xml:space="preserve">APPROVED BY : SRIKANTH  </t>
  </si>
  <si>
    <t>TOOL NO : BM454 Veedol 600ml M01 08Cavity Mold SEB101 FN</t>
  </si>
  <si>
    <t>PART LIST</t>
  </si>
  <si>
    <t>STCW28-125</t>
  </si>
  <si>
    <t>ITEM:- STANDARD PARTS - MOLD</t>
  </si>
  <si>
    <t>PART TYPE</t>
  </si>
  <si>
    <t>PART NUMBER</t>
  </si>
  <si>
    <t>SUPPLIER</t>
  </si>
  <si>
    <t>Dowel Pins High precision Type/4Dia</t>
  </si>
  <si>
    <t>STD</t>
  </si>
  <si>
    <t>MS4-25</t>
  </si>
  <si>
    <t>MISUMI</t>
  </si>
  <si>
    <t>Dowel Pins High precision Type/5Dia</t>
  </si>
  <si>
    <t>MS5-25</t>
  </si>
  <si>
    <t>CBSS5-10</t>
  </si>
  <si>
    <t>DEFLECTOR SHEET</t>
  </si>
  <si>
    <t xml:space="preserve">SCREW PLUGS                  </t>
  </si>
  <si>
    <t>MSWS12 6</t>
  </si>
  <si>
    <t>BODY INSERT</t>
  </si>
  <si>
    <t>O-RING-1  B&amp;P</t>
  </si>
  <si>
    <t>FIG -3 
(SPARE-AGE)</t>
  </si>
  <si>
    <t>COOLING PLATE - BODY INSERT</t>
  </si>
  <si>
    <t>O-RING-2 B&amp;P</t>
  </si>
  <si>
    <t>NECK INSERT - BODY INSERT</t>
  </si>
  <si>
    <t>O-RING-3 B&amp;P</t>
  </si>
  <si>
    <t>BASE INSERT - BODY INSERT</t>
  </si>
  <si>
    <t>O-RING-4 B&amp;P</t>
  </si>
  <si>
    <t>O-RING-5 B&amp;P</t>
  </si>
  <si>
    <t>GROOVE ID Ø27x2.0</t>
  </si>
  <si>
    <t>Cooling Block, Base,Bottom Ins</t>
  </si>
  <si>
    <t xml:space="preserve">Mold PartsCost </t>
  </si>
  <si>
    <t>ITEM:- STANDARD PARTS - MASK</t>
  </si>
  <si>
    <t xml:space="preserve">Dowel  ( Stripper plate to Holder )*      </t>
  </si>
  <si>
    <t>MSTP6 20</t>
  </si>
  <si>
    <t xml:space="preserve">Dowel  ( Mask Arms to Machine Platen )*       </t>
  </si>
  <si>
    <t>MSTP10 30</t>
  </si>
  <si>
    <t xml:space="preserve">Dowel  ( Mounting plate2 to Machine Platen )*       </t>
  </si>
  <si>
    <t>MSTP10 40</t>
  </si>
  <si>
    <t xml:space="preserve">Dowel  ( Mounting plate1 to Machine Platen )*       </t>
  </si>
  <si>
    <t>MSTP10 60</t>
  </si>
  <si>
    <t xml:space="preserve">Dowel  ( Mask Arms to Maks )*       </t>
  </si>
  <si>
    <t>MSTP8 35</t>
  </si>
  <si>
    <t xml:space="preserve">Dowel  ( Mounting Plate to Maks ) *      </t>
  </si>
  <si>
    <t xml:space="preserve">Dowel  ( Arms to Connecting Sheet )*       </t>
  </si>
  <si>
    <t>MSTP6 15</t>
  </si>
  <si>
    <t xml:space="preserve">SCREW PLUGS*                  </t>
  </si>
  <si>
    <t xml:space="preserve">SCREW PLUGS (1/4bsp)                  </t>
  </si>
  <si>
    <t>D-MSW2</t>
  </si>
  <si>
    <t>-</t>
  </si>
  <si>
    <t xml:space="preserve">SCREW PLUGS (1/8bsp)                  </t>
  </si>
  <si>
    <t>D-MSW1</t>
  </si>
  <si>
    <t>ITEM: IN House STD parts/Mold</t>
  </si>
  <si>
    <t>3/4" BSP plug</t>
  </si>
  <si>
    <t>ALPLA/in house</t>
  </si>
  <si>
    <t>GUIDE PILLAR Ø12 UNIT</t>
  </si>
  <si>
    <t>GUIDE BUSH Ø12 UNIT</t>
  </si>
  <si>
    <t>SHOR COUNTER &amp; Pin</t>
  </si>
  <si>
    <t>meusburger/in house</t>
  </si>
  <si>
    <t>ITEM: IN House STD parts/Mask</t>
  </si>
  <si>
    <t>T_FITTING_G1/4_8DIA</t>
  </si>
  <si>
    <t>In House</t>
  </si>
  <si>
    <t>NIPPLE_G1/4_8DIA (MT-PATE_PUNCH)</t>
  </si>
  <si>
    <t>NIPPLE_G1/4_8DIA (NECK_PUNCH)</t>
  </si>
  <si>
    <t>Mask parts Cost</t>
  </si>
  <si>
    <t>APPROVED BY :- Srikanth</t>
  </si>
  <si>
    <t>Total Cost</t>
  </si>
  <si>
    <t>ITEM:- FASTNERS- MOLD</t>
  </si>
  <si>
    <t>SHCS Screw</t>
  </si>
  <si>
    <t>Strap clamp</t>
  </si>
  <si>
    <t>M5X20</t>
  </si>
  <si>
    <t>M8X45</t>
  </si>
  <si>
    <t>COOLING BLOCKS</t>
  </si>
  <si>
    <t>M8X16</t>
  </si>
  <si>
    <t>BLOCKING WASHER</t>
  </si>
  <si>
    <t>M5X12</t>
  </si>
  <si>
    <t xml:space="preserve">STRIKER INSERT - NECK INSERT </t>
  </si>
  <si>
    <t>BODY INSERT -  NECK INSERT</t>
  </si>
  <si>
    <t>M8X50</t>
  </si>
  <si>
    <t>BASE INSERT - BOTTOM INSERT</t>
  </si>
  <si>
    <t>ITEM:- FASTNERS-MASK</t>
  </si>
  <si>
    <t>SHC SCREW*</t>
  </si>
  <si>
    <t>M8X20</t>
  </si>
  <si>
    <t>*STRIPPER PLATE</t>
  </si>
  <si>
    <t>CSK SCREW</t>
  </si>
  <si>
    <t>M12X50</t>
  </si>
  <si>
    <t>STRIPPER PLATE</t>
  </si>
  <si>
    <t>M12 SELF LOCKING NUT*</t>
  </si>
  <si>
    <t>M12</t>
  </si>
  <si>
    <t>SHCS SCREW*</t>
  </si>
  <si>
    <t>M10X35</t>
  </si>
  <si>
    <t>MASK ARMS TO MACHINE PLATEN</t>
  </si>
  <si>
    <t>SHCS SCREW</t>
  </si>
  <si>
    <t>UPPER &amp; LOWER MASK BUSH SIDE TO MASK ARM</t>
  </si>
  <si>
    <t>LOWER MASK PIN SIDE TO MOUNTING PLATE</t>
  </si>
  <si>
    <t>M8X30</t>
  </si>
  <si>
    <t>NECK PART TO MASK</t>
  </si>
  <si>
    <t>M10X40</t>
  </si>
  <si>
    <t>MC PLATEN TO MOUNTING PLATE 2</t>
  </si>
  <si>
    <t>M10X60</t>
  </si>
  <si>
    <t>MC PLATEN TO MOUNTING PLATE 1</t>
  </si>
  <si>
    <t>MOUNTING PLATE PUNCH  TO  DISTANCE_PIN</t>
  </si>
  <si>
    <t>NECKPUNCH TO DISTANCE_PIN</t>
  </si>
  <si>
    <t>GRUB SCREW*</t>
  </si>
  <si>
    <t>M5X8</t>
  </si>
  <si>
    <t>NECK PUNCH 1&amp;2</t>
  </si>
  <si>
    <t>M5X10</t>
  </si>
  <si>
    <t>Covering sheet to Mounting Plate</t>
  </si>
  <si>
    <t xml:space="preserve">APPROVED BY :- Srikanth       </t>
  </si>
  <si>
    <t>CONNECTING SHEET</t>
  </si>
  <si>
    <t>ITEM:- Electrodes</t>
  </si>
  <si>
    <t>Spark Gap</t>
  </si>
  <si>
    <t>EDM</t>
  </si>
  <si>
    <t>PROCESS 
TO BE DONE</t>
  </si>
  <si>
    <t>Total 
Weight</t>
  </si>
  <si>
    <t>E01_Groove_elec</t>
  </si>
  <si>
    <t>F</t>
  </si>
  <si>
    <t>ø</t>
  </si>
  <si>
    <t>NO Gap</t>
  </si>
  <si>
    <t>Striker INSERT B&amp;P</t>
  </si>
  <si>
    <t>CNC Turning</t>
  </si>
  <si>
    <t>E02_Full Thread Elec</t>
  </si>
  <si>
    <t>R</t>
  </si>
  <si>
    <t>R0.25/F0.09/SIDE</t>
  </si>
  <si>
    <t>NECK INSERT B &amp; P</t>
  </si>
  <si>
    <t>CNC Milling</t>
  </si>
  <si>
    <t>E04_LOGO_Elec (GRAPHITE ELEC)</t>
  </si>
  <si>
    <t>BODY INSERT B &amp; P</t>
  </si>
  <si>
    <t xml:space="preserve"> Graphite/Out Source</t>
  </si>
  <si>
    <t>PREPARED BY :- Srikanth</t>
  </si>
  <si>
    <t>Date : 06-11-24</t>
  </si>
  <si>
    <t>APPROVED BY :-Srikanth</t>
  </si>
  <si>
    <t>Total Amount:-</t>
  </si>
  <si>
    <t>GRAPHITE</t>
  </si>
  <si>
    <t>E01 Groove Elec</t>
  </si>
  <si>
    <t>Æ</t>
  </si>
  <si>
    <t>NO GAP</t>
  </si>
  <si>
    <t>STRIKER INSERT B&amp;P</t>
  </si>
  <si>
    <t>GROOVE ID Ø26.3x2.0</t>
  </si>
  <si>
    <t>GROOVE ID Ø36.7x2.0</t>
  </si>
  <si>
    <t>GROOVE ID Ø13.7x2.0</t>
  </si>
  <si>
    <t>M12X60</t>
  </si>
  <si>
    <t>BOTTOM INSERT - BODY INSERT</t>
  </si>
  <si>
    <t>C45</t>
  </si>
  <si>
    <t>Pinch Plates</t>
  </si>
  <si>
    <t>GROOVE ID Ø14.1x2.0</t>
  </si>
  <si>
    <t>O-RING-6 B&amp;P</t>
  </si>
  <si>
    <t xml:space="preserve">THREAD LESS PLUG Ø12 </t>
  </si>
  <si>
    <t>M5X50</t>
  </si>
  <si>
    <t>PINCH PLATE MC-1 TOP-1(B&amp;P)</t>
  </si>
  <si>
    <t>PINCH PLATE MC-2 TOP&amp;BTM(B)</t>
  </si>
  <si>
    <t>PINCH PLATE MC-3 TOP&amp;BTM(P)</t>
  </si>
  <si>
    <t>PINCH PLATE MC FIX-1,2&amp;3</t>
  </si>
  <si>
    <r>
      <t xml:space="preserve">PART LIST </t>
    </r>
    <r>
      <rPr>
        <sz val="14"/>
        <color theme="1"/>
        <rFont val="Calibri"/>
        <family val="2"/>
        <scheme val="minor"/>
      </rPr>
      <t xml:space="preserve"> (Finishing Sizes on 14-02-26)</t>
    </r>
  </si>
  <si>
    <t>GROOVE ID Ø26.0x2.0</t>
  </si>
  <si>
    <t>O-RING-7 B&amp;P</t>
  </si>
  <si>
    <t>GROOVE ID Ø27.90x2.0</t>
  </si>
  <si>
    <t>PREPARED BY : A.Kalyan</t>
  </si>
  <si>
    <t>PREPARED BY :-A.Kalyan</t>
  </si>
  <si>
    <t>Date : 14-06-2025</t>
  </si>
  <si>
    <t>11(#A)</t>
  </si>
  <si>
    <t>12(#A)</t>
  </si>
  <si>
    <t>13(#A)</t>
  </si>
  <si>
    <t>1(#A)</t>
  </si>
  <si>
    <t xml:space="preserve">RevA# S.no1 Sizes modified 16-02-2026 by A.kalyan need to order new </t>
  </si>
  <si>
    <t>Order Dia 35X410L bar qty no's</t>
  </si>
  <si>
    <t>10H7 SCREW PLUGS(PINCH PLATES)</t>
  </si>
  <si>
    <t>BRASS</t>
  </si>
  <si>
    <t>8H7 SCREW PLUGS(PINCH PLATES)</t>
  </si>
  <si>
    <t>6H7 SCREW PLUGS(PINCH PLATES)</t>
  </si>
  <si>
    <t>Order Dia 15x500mm 
length bar Qty 24</t>
  </si>
  <si>
    <r>
      <rPr>
        <sz val="11"/>
        <color rgb="FFC00000"/>
        <rFont val="Arial"/>
        <family val="2"/>
      </rPr>
      <t>Ø</t>
    </r>
  </si>
  <si>
    <t>NECK INSERT EDM</t>
  </si>
  <si>
    <t>NECK INSERT MC</t>
  </si>
  <si>
    <t>Order Dia 12x500mm 
length bar Qty 5</t>
  </si>
  <si>
    <t>Order Dia 15x500mm 
length bar Qty 15</t>
  </si>
  <si>
    <t>Date : 16-02-2026</t>
  </si>
  <si>
    <t>TOOL NO :BM454 Veedol 600ml M01 08Cavity Mold SEB101 FN</t>
  </si>
  <si>
    <t>Socket Head Cap Screws/Black Oxide</t>
  </si>
  <si>
    <t>CBSS5-12</t>
  </si>
  <si>
    <t>MSTP10-45</t>
  </si>
  <si>
    <t>BODY INSERT - BASE INSERT</t>
  </si>
  <si>
    <t>BODY INSERT- BOTTOM INSERT</t>
  </si>
  <si>
    <t>M10X120</t>
  </si>
  <si>
    <t>GROOVE ID Ø54.4x2.0</t>
  </si>
  <si>
    <t>Date : 16-06-25</t>
  </si>
  <si>
    <t>unbrako</t>
  </si>
  <si>
    <r>
      <t>PART LIST</t>
    </r>
    <r>
      <rPr>
        <sz val="14"/>
        <rFont val="Calibri"/>
        <family val="2"/>
        <scheme val="minor"/>
      </rPr>
      <t xml:space="preserve">  (only for rawmaterial)</t>
    </r>
  </si>
  <si>
    <t>NECK INSERT ANGLE EDM</t>
  </si>
  <si>
    <t>S.no</t>
  </si>
  <si>
    <t>Details</t>
  </si>
  <si>
    <t>Date</t>
  </si>
  <si>
    <t>Remarks</t>
  </si>
  <si>
    <t>Raw material partlist released</t>
  </si>
  <si>
    <t>E03_Thread End Elec</t>
  </si>
  <si>
    <t>NECK INSERT B</t>
  </si>
  <si>
    <t>E06_Thread start -1 Elec</t>
  </si>
  <si>
    <t xml:space="preserve">NECK INSERT B </t>
  </si>
  <si>
    <t>E07_Thread start -1 Elec</t>
  </si>
  <si>
    <t>E05_Snapper ring Elec</t>
  </si>
  <si>
    <t>F0.03/SIDE</t>
  </si>
  <si>
    <t>#RevA Electrodes added on 16-02-2026 by srikanth</t>
  </si>
  <si>
    <t>TOOL NO :  BM454 Veedol 600ml M01 08Cavity SEB Mold SEB101 FN</t>
  </si>
  <si>
    <t>20-12-2025/Srikanth</t>
  </si>
  <si>
    <t>RevA Final sizes,Mold baseparts, Elec,standard parts &amp; Fastners added</t>
  </si>
  <si>
    <t>16-02-2026/A.Kalyan</t>
  </si>
  <si>
    <t>#RevA Mold Base Parts Added by A.Kalyan on 16-02-2026</t>
  </si>
  <si>
    <t>14(#A)</t>
  </si>
  <si>
    <t>15(#A)</t>
  </si>
  <si>
    <t>16(#A)</t>
  </si>
  <si>
    <t>RevA# S.no 11 to 16 added on 16-02-2026 by A.kalyan</t>
  </si>
  <si>
    <t>DATE INSERTS</t>
  </si>
  <si>
    <t>V3.3/10x12</t>
  </si>
  <si>
    <t>Vijay deep (Please confirm with design)</t>
  </si>
  <si>
    <t xml:space="preserve">                                                E2420/10/26   (Alternate code for meusburger for Date Inserts)</t>
  </si>
  <si>
    <t>#RevA Standard Parts Added by A.Kalyan on 14-02-2026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</si>
</sst>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&quot;Rs.&quot;\ #,##0.00"/>
    <numFmt numFmtId="165" formatCode="0.0"/>
    <numFmt numFmtId="166" formatCode="&quot;Rs.&quot;\ #,##0.0"/>
  </numFmts>
  <fonts count="5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8"/>
      <color rgb="FF0070C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11"/>
      <color rgb="FFFF0000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2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8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C00000"/>
      <name val="Arial"/>
      <family val="2"/>
    </font>
    <font>
      <sz val="26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8"/>
      <name val="Verdana"/>
      <family val="2"/>
    </font>
    <font>
      <sz val="9"/>
      <name val="Verdana"/>
      <family val="2"/>
    </font>
    <font>
      <sz val="12"/>
      <name val="Calibri"/>
      <family val="2"/>
      <scheme val="minor"/>
    </font>
    <font>
      <sz val="10"/>
      <name val="Symbol"/>
      <family val="1"/>
      <charset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7CE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8" fillId="6" borderId="46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2" fillId="14" borderId="0" applyNumberFormat="0" applyBorder="0" applyAlignment="0" applyProtection="0"/>
  </cellStyleXfs>
  <cellXfs count="4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17" xfId="0" quotePrefix="1" applyFill="1" applyBorder="1" applyAlignment="1">
      <alignment horizontal="center"/>
    </xf>
    <xf numFmtId="0" fontId="0" fillId="2" borderId="0" xfId="0" quotePrefix="1" applyFill="1" applyAlignment="1">
      <alignment horizontal="center"/>
    </xf>
    <xf numFmtId="2" fontId="0" fillId="2" borderId="1" xfId="0" quotePrefix="1" applyNumberFormat="1" applyFill="1" applyBorder="1" applyAlignment="1">
      <alignment horizontal="center"/>
    </xf>
    <xf numFmtId="164" fontId="4" fillId="0" borderId="4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center"/>
    </xf>
    <xf numFmtId="2" fontId="0" fillId="0" borderId="0" xfId="0" applyNumberFormat="1"/>
    <xf numFmtId="49" fontId="0" fillId="0" borderId="0" xfId="0" applyNumberFormat="1"/>
    <xf numFmtId="0" fontId="0" fillId="0" borderId="30" xfId="0" applyBorder="1"/>
    <xf numFmtId="49" fontId="0" fillId="0" borderId="29" xfId="0" applyNumberFormat="1" applyBorder="1"/>
    <xf numFmtId="49" fontId="0" fillId="0" borderId="31" xfId="0" applyNumberFormat="1" applyBorder="1"/>
    <xf numFmtId="2" fontId="0" fillId="0" borderId="32" xfId="0" applyNumberFormat="1" applyBorder="1"/>
    <xf numFmtId="0" fontId="0" fillId="0" borderId="33" xfId="0" applyBorder="1"/>
    <xf numFmtId="2" fontId="0" fillId="2" borderId="17" xfId="0" applyNumberFormat="1" applyFill="1" applyBorder="1" applyAlignment="1">
      <alignment horizontal="left"/>
    </xf>
    <xf numFmtId="49" fontId="0" fillId="0" borderId="34" xfId="0" applyNumberFormat="1" applyBorder="1" applyAlignment="1">
      <alignment horizontal="left" vertical="center"/>
    </xf>
    <xf numFmtId="2" fontId="0" fillId="0" borderId="21" xfId="0" applyNumberFormat="1" applyBorder="1"/>
    <xf numFmtId="0" fontId="0" fillId="0" borderId="35" xfId="0" applyBorder="1"/>
    <xf numFmtId="49" fontId="0" fillId="0" borderId="36" xfId="0" applyNumberFormat="1" applyBorder="1" applyAlignment="1">
      <alignment horizontal="left" vertical="center"/>
    </xf>
    <xf numFmtId="0" fontId="0" fillId="0" borderId="37" xfId="0" applyBorder="1"/>
    <xf numFmtId="49" fontId="0" fillId="0" borderId="36" xfId="0" applyNumberFormat="1" applyBorder="1"/>
    <xf numFmtId="49" fontId="0" fillId="0" borderId="38" xfId="0" applyNumberFormat="1" applyBorder="1"/>
    <xf numFmtId="2" fontId="0" fillId="0" borderId="26" xfId="0" applyNumberFormat="1" applyBorder="1"/>
    <xf numFmtId="0" fontId="0" fillId="0" borderId="39" xfId="0" applyBorder="1"/>
    <xf numFmtId="0" fontId="0" fillId="2" borderId="1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166" fontId="0" fillId="2" borderId="27" xfId="0" applyNumberFormat="1" applyFill="1" applyBorder="1" applyAlignment="1">
      <alignment horizontal="right"/>
    </xf>
    <xf numFmtId="2" fontId="0" fillId="2" borderId="3" xfId="0" applyNumberFormat="1" applyFill="1" applyBorder="1" applyAlignment="1">
      <alignment horizontal="center"/>
    </xf>
    <xf numFmtId="0" fontId="13" fillId="2" borderId="0" xfId="0" applyFont="1" applyFill="1"/>
    <xf numFmtId="164" fontId="11" fillId="2" borderId="11" xfId="0" applyNumberFormat="1" applyFon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/>
    <xf numFmtId="49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/>
    </xf>
    <xf numFmtId="166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right"/>
    </xf>
    <xf numFmtId="2" fontId="0" fillId="2" borderId="0" xfId="0" quotePrefix="1" applyNumberFormat="1" applyFill="1" applyAlignment="1">
      <alignment horizontal="center"/>
    </xf>
    <xf numFmtId="0" fontId="0" fillId="2" borderId="0" xfId="0" applyFill="1" applyAlignment="1">
      <alignment horizontal="center" wrapText="1"/>
    </xf>
    <xf numFmtId="49" fontId="0" fillId="2" borderId="25" xfId="0" applyNumberFormat="1" applyFill="1" applyBorder="1"/>
    <xf numFmtId="0" fontId="0" fillId="2" borderId="25" xfId="0" applyFill="1" applyBorder="1"/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14" fillId="2" borderId="13" xfId="0" applyFont="1" applyFill="1" applyBorder="1"/>
    <xf numFmtId="0" fontId="0" fillId="2" borderId="43" xfId="0" applyFill="1" applyBorder="1" applyAlignment="1">
      <alignment horizontal="center"/>
    </xf>
    <xf numFmtId="2" fontId="0" fillId="2" borderId="19" xfId="0" quotePrefix="1" applyNumberFormat="1" applyFill="1" applyBorder="1" applyAlignment="1">
      <alignment horizontal="center"/>
    </xf>
    <xf numFmtId="49" fontId="0" fillId="0" borderId="0" xfId="0" applyNumberFormat="1" applyAlignment="1">
      <alignment horizontal="left" vertical="center"/>
    </xf>
    <xf numFmtId="49" fontId="9" fillId="2" borderId="1" xfId="0" applyNumberFormat="1" applyFont="1" applyFill="1" applyBorder="1" applyAlignment="1">
      <alignment horizontal="center"/>
    </xf>
    <xf numFmtId="49" fontId="15" fillId="2" borderId="1" xfId="0" applyNumberFormat="1" applyFont="1" applyFill="1" applyBorder="1" applyAlignment="1">
      <alignment horizontal="center"/>
    </xf>
    <xf numFmtId="0" fontId="0" fillId="2" borderId="28" xfId="0" applyFill="1" applyBorder="1" applyAlignment="1">
      <alignment horizontal="right"/>
    </xf>
    <xf numFmtId="0" fontId="0" fillId="2" borderId="45" xfId="0" applyFill="1" applyBorder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2" borderId="0" xfId="0" quotePrefix="1" applyNumberFormat="1" applyFill="1" applyAlignment="1">
      <alignment horizontal="left"/>
    </xf>
    <xf numFmtId="2" fontId="0" fillId="2" borderId="19" xfId="0" quotePrefix="1" applyNumberFormat="1" applyFill="1" applyBorder="1" applyAlignment="1">
      <alignment horizontal="left"/>
    </xf>
    <xf numFmtId="0" fontId="12" fillId="3" borderId="2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66" fontId="0" fillId="2" borderId="11" xfId="0" applyNumberFormat="1" applyFill="1" applyBorder="1" applyAlignment="1">
      <alignment horizontal="right"/>
    </xf>
    <xf numFmtId="49" fontId="0" fillId="2" borderId="0" xfId="0" applyNumberFormat="1" applyFill="1" applyAlignment="1">
      <alignment horizontal="right"/>
    </xf>
    <xf numFmtId="0" fontId="16" fillId="2" borderId="4" xfId="0" applyFont="1" applyFill="1" applyBorder="1" applyAlignment="1">
      <alignment horizontal="center"/>
    </xf>
    <xf numFmtId="2" fontId="7" fillId="2" borderId="17" xfId="0" applyNumberFormat="1" applyFont="1" applyFill="1" applyBorder="1" applyAlignment="1">
      <alignment horizontal="center"/>
    </xf>
    <xf numFmtId="2" fontId="9" fillId="2" borderId="17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" fontId="9" fillId="2" borderId="19" xfId="0" applyNumberFormat="1" applyFont="1" applyFill="1" applyBorder="1" applyAlignment="1">
      <alignment horizontal="center"/>
    </xf>
    <xf numFmtId="2" fontId="9" fillId="2" borderId="3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7" xfId="0" quotePrefix="1" applyFont="1" applyFill="1" applyBorder="1" applyAlignment="1">
      <alignment horizontal="center"/>
    </xf>
    <xf numFmtId="2" fontId="9" fillId="2" borderId="1" xfId="0" quotePrefix="1" applyNumberFormat="1" applyFont="1" applyFill="1" applyBorder="1" applyAlignment="1">
      <alignment horizontal="center"/>
    </xf>
    <xf numFmtId="166" fontId="9" fillId="2" borderId="27" xfId="0" applyNumberFormat="1" applyFont="1" applyFill="1" applyBorder="1" applyAlignment="1">
      <alignment horizontal="right"/>
    </xf>
    <xf numFmtId="0" fontId="9" fillId="2" borderId="19" xfId="0" applyFont="1" applyFill="1" applyBorder="1" applyAlignment="1">
      <alignment horizontal="center"/>
    </xf>
    <xf numFmtId="2" fontId="9" fillId="2" borderId="19" xfId="0" quotePrefix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19" fillId="2" borderId="0" xfId="0" applyFont="1" applyFill="1" applyAlignment="1">
      <alignment horizontal="center"/>
    </xf>
    <xf numFmtId="0" fontId="19" fillId="2" borderId="0" xfId="0" applyFont="1" applyFill="1"/>
    <xf numFmtId="2" fontId="9" fillId="2" borderId="2" xfId="0" applyNumberFormat="1" applyFont="1" applyFill="1" applyBorder="1" applyAlignment="1">
      <alignment horizontal="center"/>
    </xf>
    <xf numFmtId="2" fontId="9" fillId="2" borderId="17" xfId="0" applyNumberFormat="1" applyFont="1" applyFill="1" applyBorder="1" applyAlignment="1">
      <alignment horizontal="left"/>
    </xf>
    <xf numFmtId="0" fontId="14" fillId="2" borderId="42" xfId="0" applyFont="1" applyFill="1" applyBorder="1"/>
    <xf numFmtId="0" fontId="9" fillId="2" borderId="0" xfId="0" applyFont="1" applyFill="1"/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left" wrapText="1"/>
    </xf>
    <xf numFmtId="49" fontId="24" fillId="2" borderId="1" xfId="0" applyNumberFormat="1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17" xfId="0" quotePrefix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2" fontId="24" fillId="2" borderId="19" xfId="0" applyNumberFormat="1" applyFont="1" applyFill="1" applyBorder="1" applyAlignment="1">
      <alignment horizontal="center"/>
    </xf>
    <xf numFmtId="2" fontId="24" fillId="2" borderId="17" xfId="0" applyNumberFormat="1" applyFont="1" applyFill="1" applyBorder="1" applyAlignment="1">
      <alignment horizontal="left"/>
    </xf>
    <xf numFmtId="2" fontId="24" fillId="2" borderId="17" xfId="0" applyNumberFormat="1" applyFont="1" applyFill="1" applyBorder="1" applyAlignment="1">
      <alignment horizontal="center"/>
    </xf>
    <xf numFmtId="2" fontId="24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2" fontId="24" fillId="2" borderId="2" xfId="0" applyNumberFormat="1" applyFont="1" applyFill="1" applyBorder="1" applyAlignment="1">
      <alignment horizontal="center"/>
    </xf>
    <xf numFmtId="2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66" fontId="24" fillId="2" borderId="27" xfId="0" applyNumberFormat="1" applyFont="1" applyFill="1" applyBorder="1" applyAlignment="1">
      <alignment horizontal="right"/>
    </xf>
    <xf numFmtId="0" fontId="24" fillId="2" borderId="0" xfId="0" applyFont="1" applyFill="1" applyAlignment="1">
      <alignment horizontal="center"/>
    </xf>
    <xf numFmtId="0" fontId="24" fillId="2" borderId="0" xfId="0" applyFont="1" applyFill="1"/>
    <xf numFmtId="0" fontId="24" fillId="2" borderId="0" xfId="0" applyFont="1" applyFill="1" applyAlignment="1">
      <alignment horizontal="left"/>
    </xf>
    <xf numFmtId="49" fontId="24" fillId="2" borderId="0" xfId="0" applyNumberFormat="1" applyFont="1" applyFill="1" applyAlignment="1">
      <alignment horizontal="center"/>
    </xf>
    <xf numFmtId="0" fontId="24" fillId="2" borderId="0" xfId="0" quotePrefix="1" applyFont="1" applyFill="1" applyAlignment="1">
      <alignment horizontal="center"/>
    </xf>
    <xf numFmtId="2" fontId="24" fillId="2" borderId="0" xfId="0" applyNumberFormat="1" applyFont="1" applyFill="1" applyAlignment="1">
      <alignment horizontal="center"/>
    </xf>
    <xf numFmtId="2" fontId="24" fillId="2" borderId="0" xfId="0" applyNumberFormat="1" applyFont="1" applyFill="1" applyAlignment="1">
      <alignment horizontal="left"/>
    </xf>
    <xf numFmtId="165" fontId="24" fillId="2" borderId="0" xfId="0" applyNumberFormat="1" applyFont="1" applyFill="1" applyAlignment="1">
      <alignment horizontal="right"/>
    </xf>
    <xf numFmtId="0" fontId="24" fillId="2" borderId="45" xfId="0" applyFont="1" applyFill="1" applyBorder="1" applyAlignment="1">
      <alignment horizontal="left"/>
    </xf>
    <xf numFmtId="2" fontId="26" fillId="2" borderId="19" xfId="0" applyNumberFormat="1" applyFont="1" applyFill="1" applyBorder="1" applyAlignment="1">
      <alignment horizontal="center"/>
    </xf>
    <xf numFmtId="0" fontId="24" fillId="2" borderId="1" xfId="0" applyFont="1" applyFill="1" applyBorder="1"/>
    <xf numFmtId="49" fontId="26" fillId="2" borderId="1" xfId="0" applyNumberFormat="1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2" fontId="27" fillId="2" borderId="2" xfId="0" applyNumberFormat="1" applyFont="1" applyFill="1" applyBorder="1" applyAlignment="1">
      <alignment horizontal="center"/>
    </xf>
    <xf numFmtId="2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166" fontId="24" fillId="2" borderId="0" xfId="0" applyNumberFormat="1" applyFont="1" applyFill="1"/>
    <xf numFmtId="0" fontId="9" fillId="2" borderId="3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9" fillId="2" borderId="45" xfId="0" applyFont="1" applyFill="1" applyBorder="1" applyAlignment="1">
      <alignment horizontal="left"/>
    </xf>
    <xf numFmtId="0" fontId="9" fillId="2" borderId="47" xfId="0" applyFont="1" applyFill="1" applyBorder="1" applyAlignment="1">
      <alignment horizontal="center"/>
    </xf>
    <xf numFmtId="0" fontId="9" fillId="2" borderId="48" xfId="0" quotePrefix="1" applyFont="1" applyFill="1" applyBorder="1" applyAlignment="1">
      <alignment horizontal="center"/>
    </xf>
    <xf numFmtId="0" fontId="9" fillId="2" borderId="49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2" fontId="15" fillId="2" borderId="17" xfId="0" applyNumberFormat="1" applyFont="1" applyFill="1" applyBorder="1" applyAlignment="1">
      <alignment horizontal="center"/>
    </xf>
    <xf numFmtId="2" fontId="9" fillId="2" borderId="17" xfId="0" quotePrefix="1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wrapText="1"/>
    </xf>
    <xf numFmtId="1" fontId="29" fillId="2" borderId="1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2" fontId="30" fillId="2" borderId="1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" xfId="0" applyFill="1" applyBorder="1"/>
    <xf numFmtId="49" fontId="31" fillId="8" borderId="1" xfId="0" applyNumberFormat="1" applyFont="1" applyFill="1" applyBorder="1" applyAlignment="1">
      <alignment horizontal="center"/>
    </xf>
    <xf numFmtId="49" fontId="32" fillId="8" borderId="1" xfId="0" applyNumberFormat="1" applyFon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quotePrefix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2" fontId="0" fillId="8" borderId="19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left"/>
    </xf>
    <xf numFmtId="2" fontId="0" fillId="8" borderId="17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2" fontId="33" fillId="8" borderId="2" xfId="0" applyNumberFormat="1" applyFont="1" applyFill="1" applyBorder="1" applyAlignment="1">
      <alignment horizontal="center"/>
    </xf>
    <xf numFmtId="2" fontId="33" fillId="8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166" fontId="0" fillId="8" borderId="27" xfId="0" applyNumberFormat="1" applyFill="1" applyBorder="1" applyAlignment="1">
      <alignment horizontal="right"/>
    </xf>
    <xf numFmtId="0" fontId="31" fillId="8" borderId="0" xfId="0" applyFont="1" applyFill="1" applyAlignment="1">
      <alignment horizontal="center"/>
    </xf>
    <xf numFmtId="166" fontId="31" fillId="8" borderId="0" xfId="0" applyNumberFormat="1" applyFont="1" applyFill="1"/>
    <xf numFmtId="0" fontId="0" fillId="8" borderId="0" xfId="0" applyFill="1"/>
    <xf numFmtId="2" fontId="19" fillId="2" borderId="0" xfId="0" applyNumberFormat="1" applyFont="1" applyFill="1" applyAlignment="1">
      <alignment horizontal="center"/>
    </xf>
    <xf numFmtId="0" fontId="36" fillId="3" borderId="5" xfId="0" applyFont="1" applyFill="1" applyBorder="1" applyAlignment="1">
      <alignment horizontal="center"/>
    </xf>
    <xf numFmtId="0" fontId="36" fillId="3" borderId="6" xfId="0" applyFont="1" applyFill="1" applyBorder="1" applyAlignment="1">
      <alignment horizontal="center"/>
    </xf>
    <xf numFmtId="0" fontId="36" fillId="3" borderId="7" xfId="0" applyFont="1" applyFill="1" applyBorder="1" applyAlignment="1">
      <alignment horizontal="center"/>
    </xf>
    <xf numFmtId="2" fontId="36" fillId="3" borderId="6" xfId="0" applyNumberFormat="1" applyFont="1" applyFill="1" applyBorder="1" applyAlignment="1">
      <alignment horizontal="center"/>
    </xf>
    <xf numFmtId="2" fontId="36" fillId="3" borderId="7" xfId="0" applyNumberFormat="1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2" fontId="9" fillId="2" borderId="28" xfId="0" applyNumberFormat="1" applyFont="1" applyFill="1" applyBorder="1" applyAlignment="1">
      <alignment horizontal="center"/>
    </xf>
    <xf numFmtId="0" fontId="0" fillId="2" borderId="10" xfId="0" applyFill="1" applyBorder="1"/>
    <xf numFmtId="0" fontId="0" fillId="2" borderId="13" xfId="0" applyFill="1" applyBorder="1" applyAlignment="1">
      <alignment horizontal="center"/>
    </xf>
    <xf numFmtId="49" fontId="0" fillId="2" borderId="13" xfId="0" applyNumberFormat="1" applyFill="1" applyBorder="1"/>
    <xf numFmtId="0" fontId="0" fillId="2" borderId="13" xfId="0" applyFill="1" applyBorder="1"/>
    <xf numFmtId="0" fontId="0" fillId="2" borderId="13" xfId="0" applyFill="1" applyBorder="1" applyAlignment="1">
      <alignment horizontal="right"/>
    </xf>
    <xf numFmtId="2" fontId="6" fillId="2" borderId="12" xfId="0" applyNumberFormat="1" applyFont="1" applyFill="1" applyBorder="1" applyAlignment="1">
      <alignment horizontal="center"/>
    </xf>
    <xf numFmtId="2" fontId="19" fillId="2" borderId="0" xfId="0" applyNumberFormat="1" applyFont="1" applyFill="1"/>
    <xf numFmtId="0" fontId="5" fillId="10" borderId="0" xfId="4" applyFill="1"/>
    <xf numFmtId="0" fontId="37" fillId="3" borderId="5" xfId="0" applyFont="1" applyFill="1" applyBorder="1" applyAlignment="1">
      <alignment horizontal="center"/>
    </xf>
    <xf numFmtId="2" fontId="37" fillId="3" borderId="6" xfId="0" applyNumberFormat="1" applyFont="1" applyFill="1" applyBorder="1" applyAlignment="1">
      <alignment horizontal="center"/>
    </xf>
    <xf numFmtId="2" fontId="37" fillId="3" borderId="7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4" xfId="2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1" xfId="0" applyFont="1" applyFill="1" applyBorder="1"/>
    <xf numFmtId="0" fontId="15" fillId="2" borderId="19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5" fillId="2" borderId="19" xfId="0" applyFont="1" applyFill="1" applyBorder="1" applyAlignment="1">
      <alignment horizontal="center" wrapText="1"/>
    </xf>
    <xf numFmtId="0" fontId="37" fillId="3" borderId="6" xfId="0" applyFont="1" applyFill="1" applyBorder="1"/>
    <xf numFmtId="0" fontId="37" fillId="3" borderId="6" xfId="0" applyFont="1" applyFill="1" applyBorder="1" applyAlignment="1">
      <alignment horizontal="center"/>
    </xf>
    <xf numFmtId="0" fontId="15" fillId="2" borderId="1" xfId="2" applyFont="1" applyFill="1" applyBorder="1" applyAlignment="1">
      <alignment horizontal="left"/>
    </xf>
    <xf numFmtId="0" fontId="15" fillId="2" borderId="1" xfId="2" applyFont="1" applyFill="1" applyBorder="1" applyAlignment="1">
      <alignment horizontal="center"/>
    </xf>
    <xf numFmtId="0" fontId="15" fillId="2" borderId="52" xfId="0" applyFont="1" applyFill="1" applyBorder="1" applyAlignment="1">
      <alignment horizontal="center"/>
    </xf>
    <xf numFmtId="0" fontId="15" fillId="2" borderId="53" xfId="2" applyFont="1" applyFill="1" applyBorder="1" applyAlignment="1">
      <alignment horizontal="left"/>
    </xf>
    <xf numFmtId="0" fontId="15" fillId="2" borderId="53" xfId="2" applyFont="1" applyFill="1" applyBorder="1" applyAlignment="1">
      <alignment horizontal="center"/>
    </xf>
    <xf numFmtId="0" fontId="15" fillId="2" borderId="54" xfId="2" applyFont="1" applyFill="1" applyBorder="1" applyAlignment="1">
      <alignment horizontal="center"/>
    </xf>
    <xf numFmtId="0" fontId="15" fillId="2" borderId="23" xfId="2" applyFont="1" applyFill="1" applyBorder="1" applyAlignment="1">
      <alignment horizontal="center" vertical="center"/>
    </xf>
    <xf numFmtId="0" fontId="15" fillId="2" borderId="24" xfId="2" applyFont="1" applyFill="1" applyBorder="1" applyAlignment="1">
      <alignment horizontal="center" vertical="center"/>
    </xf>
    <xf numFmtId="0" fontId="36" fillId="3" borderId="7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9" fillId="2" borderId="0" xfId="0" applyFont="1" applyFill="1" applyAlignment="1">
      <alignment horizontal="left"/>
    </xf>
    <xf numFmtId="2" fontId="0" fillId="2" borderId="4" xfId="0" applyNumberForma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2" fontId="22" fillId="2" borderId="4" xfId="0" applyNumberFormat="1" applyFont="1" applyFill="1" applyBorder="1" applyAlignment="1">
      <alignment horizontal="center"/>
    </xf>
    <xf numFmtId="2" fontId="11" fillId="2" borderId="12" xfId="0" applyNumberFormat="1" applyFont="1" applyFill="1" applyBorder="1" applyAlignment="1">
      <alignment horizontal="center"/>
    </xf>
    <xf numFmtId="2" fontId="22" fillId="2" borderId="28" xfId="0" applyNumberFormat="1" applyFont="1" applyFill="1" applyBorder="1" applyAlignment="1">
      <alignment horizontal="center"/>
    </xf>
    <xf numFmtId="43" fontId="36" fillId="3" borderId="6" xfId="7" applyFont="1" applyFill="1" applyBorder="1" applyAlignment="1">
      <alignment horizontal="center"/>
    </xf>
    <xf numFmtId="43" fontId="36" fillId="3" borderId="18" xfId="7" applyFont="1" applyFill="1" applyBorder="1" applyAlignment="1">
      <alignment horizontal="center"/>
    </xf>
    <xf numFmtId="43" fontId="37" fillId="3" borderId="6" xfId="7" applyFont="1" applyFill="1" applyBorder="1" applyAlignment="1">
      <alignment horizontal="center"/>
    </xf>
    <xf numFmtId="43" fontId="15" fillId="2" borderId="1" xfId="7" applyFont="1" applyFill="1" applyBorder="1" applyAlignment="1">
      <alignment horizontal="center"/>
    </xf>
    <xf numFmtId="43" fontId="15" fillId="2" borderId="19" xfId="7" applyFont="1" applyFill="1" applyBorder="1" applyAlignment="1">
      <alignment horizontal="center"/>
    </xf>
    <xf numFmtId="43" fontId="15" fillId="2" borderId="53" xfId="7" applyFont="1" applyFill="1" applyBorder="1" applyAlignment="1">
      <alignment horizontal="center"/>
    </xf>
    <xf numFmtId="43" fontId="0" fillId="2" borderId="13" xfId="7" applyFont="1" applyFill="1" applyBorder="1" applyAlignment="1">
      <alignment horizontal="left"/>
    </xf>
    <xf numFmtId="43" fontId="19" fillId="2" borderId="0" xfId="7" applyFont="1" applyFill="1"/>
    <xf numFmtId="43" fontId="19" fillId="2" borderId="0" xfId="7" applyFont="1" applyFill="1" applyAlignment="1">
      <alignment horizontal="center"/>
    </xf>
    <xf numFmtId="0" fontId="31" fillId="2" borderId="1" xfId="0" applyFont="1" applyFill="1" applyBorder="1"/>
    <xf numFmtId="49" fontId="31" fillId="2" borderId="1" xfId="0" applyNumberFormat="1" applyFont="1" applyFill="1" applyBorder="1" applyAlignment="1">
      <alignment horizontal="center"/>
    </xf>
    <xf numFmtId="0" fontId="31" fillId="2" borderId="19" xfId="0" applyFont="1" applyFill="1" applyBorder="1" applyAlignment="1">
      <alignment horizontal="center"/>
    </xf>
    <xf numFmtId="0" fontId="31" fillId="2" borderId="17" xfId="0" applyFont="1" applyFill="1" applyBorder="1" applyAlignment="1">
      <alignment horizontal="center"/>
    </xf>
    <xf numFmtId="0" fontId="31" fillId="2" borderId="3" xfId="0" applyFont="1" applyFill="1" applyBorder="1" applyAlignment="1">
      <alignment horizontal="center"/>
    </xf>
    <xf numFmtId="2" fontId="31" fillId="2" borderId="19" xfId="0" applyNumberFormat="1" applyFont="1" applyFill="1" applyBorder="1" applyAlignment="1">
      <alignment horizontal="right"/>
    </xf>
    <xf numFmtId="2" fontId="31" fillId="2" borderId="17" xfId="0" applyNumberFormat="1" applyFont="1" applyFill="1" applyBorder="1" applyAlignment="1">
      <alignment horizontal="center"/>
    </xf>
    <xf numFmtId="2" fontId="31" fillId="2" borderId="3" xfId="0" applyNumberFormat="1" applyFont="1" applyFill="1" applyBorder="1" applyAlignment="1">
      <alignment horizontal="left"/>
    </xf>
    <xf numFmtId="0" fontId="39" fillId="2" borderId="4" xfId="0" applyFont="1" applyFill="1" applyBorder="1" applyAlignment="1">
      <alignment horizontal="center"/>
    </xf>
    <xf numFmtId="2" fontId="31" fillId="2" borderId="2" xfId="0" applyNumberFormat="1" applyFont="1" applyFill="1" applyBorder="1" applyAlignment="1">
      <alignment horizontal="center"/>
    </xf>
    <xf numFmtId="2" fontId="31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166" fontId="31" fillId="2" borderId="27" xfId="0" applyNumberFormat="1" applyFont="1" applyFill="1" applyBorder="1" applyAlignment="1">
      <alignment horizontal="right"/>
    </xf>
    <xf numFmtId="0" fontId="31" fillId="2" borderId="0" xfId="0" applyFont="1" applyFill="1" applyAlignment="1">
      <alignment horizontal="center"/>
    </xf>
    <xf numFmtId="0" fontId="31" fillId="2" borderId="0" xfId="0" applyFont="1" applyFill="1"/>
    <xf numFmtId="0" fontId="0" fillId="2" borderId="17" xfId="0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" xfId="0" applyFont="1" applyFill="1" applyBorder="1"/>
    <xf numFmtId="2" fontId="9" fillId="2" borderId="19" xfId="0" applyNumberFormat="1" applyFont="1" applyFill="1" applyBorder="1" applyAlignment="1">
      <alignment horizontal="right"/>
    </xf>
    <xf numFmtId="2" fontId="9" fillId="2" borderId="3" xfId="0" applyNumberFormat="1" applyFont="1" applyFill="1" applyBorder="1" applyAlignment="1">
      <alignment horizontal="left"/>
    </xf>
    <xf numFmtId="0" fontId="9" fillId="2" borderId="45" xfId="0" applyFont="1" applyFill="1" applyBorder="1"/>
    <xf numFmtId="2" fontId="9" fillId="2" borderId="19" xfId="0" quotePrefix="1" applyNumberFormat="1" applyFont="1" applyFill="1" applyBorder="1" applyAlignment="1">
      <alignment horizontal="right"/>
    </xf>
    <xf numFmtId="0" fontId="0" fillId="2" borderId="1" xfId="0" applyFill="1" applyBorder="1"/>
    <xf numFmtId="2" fontId="0" fillId="2" borderId="19" xfId="0" quotePrefix="1" applyNumberFormat="1" applyFill="1" applyBorder="1" applyAlignment="1">
      <alignment horizontal="right"/>
    </xf>
    <xf numFmtId="2" fontId="0" fillId="2" borderId="3" xfId="0" applyNumberFormat="1" applyFill="1" applyBorder="1" applyAlignment="1">
      <alignment horizontal="left"/>
    </xf>
    <xf numFmtId="0" fontId="0" fillId="2" borderId="4" xfId="0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43" fontId="7" fillId="2" borderId="1" xfId="7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wrapText="1"/>
    </xf>
    <xf numFmtId="0" fontId="7" fillId="2" borderId="4" xfId="2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19" xfId="2" applyFont="1" applyFill="1" applyBorder="1" applyAlignment="1">
      <alignment horizontal="center"/>
    </xf>
    <xf numFmtId="0" fontId="15" fillId="2" borderId="17" xfId="2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43" fontId="9" fillId="2" borderId="1" xfId="7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wrapText="1"/>
    </xf>
    <xf numFmtId="0" fontId="9" fillId="2" borderId="4" xfId="2" applyFont="1" applyFill="1" applyBorder="1" applyAlignment="1">
      <alignment horizontal="left"/>
    </xf>
    <xf numFmtId="0" fontId="37" fillId="13" borderId="5" xfId="0" applyFont="1" applyFill="1" applyBorder="1" applyAlignment="1">
      <alignment horizontal="center"/>
    </xf>
    <xf numFmtId="0" fontId="37" fillId="13" borderId="6" xfId="0" applyFont="1" applyFill="1" applyBorder="1"/>
    <xf numFmtId="0" fontId="37" fillId="13" borderId="6" xfId="0" applyFont="1" applyFill="1" applyBorder="1" applyAlignment="1">
      <alignment horizontal="center"/>
    </xf>
    <xf numFmtId="0" fontId="40" fillId="2" borderId="0" xfId="0" applyFont="1" applyFill="1"/>
    <xf numFmtId="2" fontId="13" fillId="9" borderId="17" xfId="0" applyNumberFormat="1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31" fillId="9" borderId="2" xfId="0" applyFont="1" applyFill="1" applyBorder="1" applyAlignment="1">
      <alignment horizontal="center"/>
    </xf>
    <xf numFmtId="0" fontId="31" fillId="9" borderId="1" xfId="0" applyFont="1" applyFill="1" applyBorder="1" applyAlignment="1">
      <alignment horizontal="left"/>
    </xf>
    <xf numFmtId="49" fontId="31" fillId="9" borderId="1" xfId="0" applyNumberFormat="1" applyFont="1" applyFill="1" applyBorder="1" applyAlignment="1">
      <alignment horizontal="center"/>
    </xf>
    <xf numFmtId="0" fontId="31" fillId="9" borderId="19" xfId="0" applyFont="1" applyFill="1" applyBorder="1" applyAlignment="1">
      <alignment horizontal="center"/>
    </xf>
    <xf numFmtId="0" fontId="31" fillId="9" borderId="17" xfId="0" applyFont="1" applyFill="1" applyBorder="1" applyAlignment="1">
      <alignment horizontal="center"/>
    </xf>
    <xf numFmtId="0" fontId="31" fillId="9" borderId="3" xfId="0" applyFont="1" applyFill="1" applyBorder="1" applyAlignment="1">
      <alignment horizontal="center"/>
    </xf>
    <xf numFmtId="2" fontId="31" fillId="9" borderId="19" xfId="0" applyNumberFormat="1" applyFont="1" applyFill="1" applyBorder="1" applyAlignment="1">
      <alignment horizontal="center"/>
    </xf>
    <xf numFmtId="2" fontId="31" fillId="9" borderId="17" xfId="0" applyNumberFormat="1" applyFont="1" applyFill="1" applyBorder="1" applyAlignment="1">
      <alignment horizontal="center"/>
    </xf>
    <xf numFmtId="2" fontId="31" fillId="9" borderId="3" xfId="0" applyNumberFormat="1" applyFont="1" applyFill="1" applyBorder="1" applyAlignment="1">
      <alignment horizontal="center"/>
    </xf>
    <xf numFmtId="0" fontId="31" fillId="9" borderId="45" xfId="0" applyFont="1" applyFill="1" applyBorder="1" applyAlignment="1">
      <alignment horizontal="left"/>
    </xf>
    <xf numFmtId="0" fontId="31" fillId="9" borderId="47" xfId="0" applyFont="1" applyFill="1" applyBorder="1" applyAlignment="1">
      <alignment horizontal="center"/>
    </xf>
    <xf numFmtId="0" fontId="31" fillId="9" borderId="48" xfId="0" quotePrefix="1" applyFont="1" applyFill="1" applyBorder="1" applyAlignment="1">
      <alignment horizontal="center"/>
    </xf>
    <xf numFmtId="0" fontId="31" fillId="9" borderId="49" xfId="0" applyFont="1" applyFill="1" applyBorder="1" applyAlignment="1">
      <alignment horizontal="center"/>
    </xf>
    <xf numFmtId="2" fontId="31" fillId="9" borderId="17" xfId="0" applyNumberFormat="1" applyFont="1" applyFill="1" applyBorder="1" applyAlignment="1">
      <alignment horizontal="left"/>
    </xf>
    <xf numFmtId="0" fontId="39" fillId="9" borderId="4" xfId="0" applyFont="1" applyFill="1" applyBorder="1" applyAlignment="1">
      <alignment horizontal="center"/>
    </xf>
    <xf numFmtId="2" fontId="31" fillId="9" borderId="2" xfId="0" applyNumberFormat="1" applyFont="1" applyFill="1" applyBorder="1" applyAlignment="1">
      <alignment horizontal="center"/>
    </xf>
    <xf numFmtId="2" fontId="31" fillId="9" borderId="1" xfId="0" applyNumberFormat="1" applyFont="1" applyFill="1" applyBorder="1" applyAlignment="1">
      <alignment horizontal="center"/>
    </xf>
    <xf numFmtId="0" fontId="31" fillId="9" borderId="1" xfId="0" applyFont="1" applyFill="1" applyBorder="1" applyAlignment="1">
      <alignment horizontal="center"/>
    </xf>
    <xf numFmtId="166" fontId="31" fillId="9" borderId="27" xfId="0" applyNumberFormat="1" applyFont="1" applyFill="1" applyBorder="1" applyAlignment="1">
      <alignment horizontal="right"/>
    </xf>
    <xf numFmtId="0" fontId="31" fillId="9" borderId="1" xfId="14" applyFont="1" applyFill="1" applyBorder="1" applyAlignment="1">
      <alignment vertical="center"/>
    </xf>
    <xf numFmtId="0" fontId="31" fillId="9" borderId="19" xfId="0" applyFont="1" applyFill="1" applyBorder="1" applyAlignment="1">
      <alignment horizontal="center" vertical="center"/>
    </xf>
    <xf numFmtId="0" fontId="31" fillId="9" borderId="17" xfId="0" quotePrefix="1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2" fontId="31" fillId="9" borderId="19" xfId="0" quotePrefix="1" applyNumberFormat="1" applyFont="1" applyFill="1" applyBorder="1" applyAlignment="1">
      <alignment horizontal="center" vertical="center"/>
    </xf>
    <xf numFmtId="2" fontId="31" fillId="9" borderId="17" xfId="0" quotePrefix="1" applyNumberFormat="1" applyFont="1" applyFill="1" applyBorder="1" applyAlignment="1">
      <alignment horizontal="right" vertical="center"/>
    </xf>
    <xf numFmtId="2" fontId="31" fillId="9" borderId="17" xfId="0" applyNumberFormat="1" applyFont="1" applyFill="1" applyBorder="1" applyAlignment="1">
      <alignment horizontal="center" vertical="center"/>
    </xf>
    <xf numFmtId="2" fontId="31" fillId="9" borderId="3" xfId="0" applyNumberFormat="1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/>
    </xf>
    <xf numFmtId="49" fontId="31" fillId="9" borderId="1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center"/>
    </xf>
    <xf numFmtId="49" fontId="37" fillId="13" borderId="6" xfId="0" applyNumberFormat="1" applyFont="1" applyFill="1" applyBorder="1" applyAlignment="1">
      <alignment horizontal="center"/>
    </xf>
    <xf numFmtId="0" fontId="37" fillId="13" borderId="21" xfId="0" applyFont="1" applyFill="1" applyBorder="1" applyAlignment="1">
      <alignment horizontal="center"/>
    </xf>
    <xf numFmtId="0" fontId="49" fillId="13" borderId="6" xfId="0" applyFont="1" applyFill="1" applyBorder="1" applyAlignment="1">
      <alignment horizontal="center" wrapText="1"/>
    </xf>
    <xf numFmtId="0" fontId="50" fillId="13" borderId="5" xfId="0" applyFont="1" applyFill="1" applyBorder="1" applyAlignment="1">
      <alignment horizontal="center"/>
    </xf>
    <xf numFmtId="0" fontId="50" fillId="13" borderId="6" xfId="0" applyFont="1" applyFill="1" applyBorder="1" applyAlignment="1">
      <alignment horizontal="center"/>
    </xf>
    <xf numFmtId="0" fontId="50" fillId="13" borderId="6" xfId="0" applyFont="1" applyFill="1" applyBorder="1" applyAlignment="1">
      <alignment horizontal="center" wrapText="1"/>
    </xf>
    <xf numFmtId="0" fontId="50" fillId="13" borderId="7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right"/>
    </xf>
    <xf numFmtId="0" fontId="9" fillId="2" borderId="17" xfId="0" applyFont="1" applyFill="1" applyBorder="1"/>
    <xf numFmtId="0" fontId="9" fillId="2" borderId="17" xfId="0" applyFont="1" applyFill="1" applyBorder="1" applyAlignment="1">
      <alignment horizontal="right"/>
    </xf>
    <xf numFmtId="0" fontId="9" fillId="2" borderId="3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 wrapText="1"/>
    </xf>
    <xf numFmtId="2" fontId="9" fillId="2" borderId="48" xfId="0" applyNumberFormat="1" applyFont="1" applyFill="1" applyBorder="1" applyAlignment="1">
      <alignment horizontal="center"/>
    </xf>
    <xf numFmtId="2" fontId="9" fillId="2" borderId="2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left"/>
    </xf>
    <xf numFmtId="2" fontId="9" fillId="2" borderId="4" xfId="0" applyNumberFormat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13" xfId="0" applyFont="1" applyFill="1" applyBorder="1" applyAlignment="1">
      <alignment horizontal="center"/>
    </xf>
    <xf numFmtId="49" fontId="9" fillId="2" borderId="13" xfId="0" applyNumberFormat="1" applyFont="1" applyFill="1" applyBorder="1"/>
    <xf numFmtId="0" fontId="9" fillId="2" borderId="13" xfId="0" applyFont="1" applyFill="1" applyBorder="1"/>
    <xf numFmtId="0" fontId="9" fillId="2" borderId="13" xfId="0" applyFont="1" applyFill="1" applyBorder="1" applyAlignment="1">
      <alignment horizontal="left"/>
    </xf>
    <xf numFmtId="0" fontId="9" fillId="2" borderId="9" xfId="0" applyFont="1" applyFill="1" applyBorder="1"/>
    <xf numFmtId="164" fontId="9" fillId="2" borderId="11" xfId="0" applyNumberFormat="1" applyFont="1" applyFill="1" applyBorder="1" applyAlignment="1">
      <alignment horizontal="center"/>
    </xf>
    <xf numFmtId="49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9" fillId="2" borderId="0" xfId="0" quotePrefix="1" applyFont="1" applyFill="1" applyAlignment="1">
      <alignment horizontal="center"/>
    </xf>
    <xf numFmtId="0" fontId="9" fillId="2" borderId="53" xfId="0" applyFont="1" applyFill="1" applyBorder="1"/>
    <xf numFmtId="0" fontId="23" fillId="2" borderId="17" xfId="0" applyFont="1" applyFill="1" applyBorder="1" applyAlignment="1">
      <alignment horizontal="center"/>
    </xf>
    <xf numFmtId="2" fontId="52" fillId="2" borderId="17" xfId="0" applyNumberFormat="1" applyFont="1" applyFill="1" applyBorder="1" applyAlignment="1">
      <alignment horizontal="right"/>
    </xf>
    <xf numFmtId="0" fontId="15" fillId="2" borderId="51" xfId="0" applyFont="1" applyFill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1" fillId="0" borderId="0" xfId="0" applyFont="1"/>
    <xf numFmtId="14" fontId="0" fillId="0" borderId="0" xfId="0" applyNumberFormat="1"/>
    <xf numFmtId="2" fontId="44" fillId="2" borderId="2" xfId="0" applyNumberFormat="1" applyFont="1" applyFill="1" applyBorder="1" applyAlignment="1">
      <alignment horizontal="center"/>
    </xf>
    <xf numFmtId="2" fontId="44" fillId="2" borderId="1" xfId="0" applyNumberFormat="1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2" fontId="0" fillId="2" borderId="40" xfId="0" applyNumberForma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2" fontId="9" fillId="2" borderId="40" xfId="0" applyNumberFormat="1" applyFont="1" applyFill="1" applyBorder="1" applyAlignment="1">
      <alignment horizontal="center"/>
    </xf>
    <xf numFmtId="2" fontId="9" fillId="2" borderId="25" xfId="0" applyNumberFormat="1" applyFont="1" applyFill="1" applyBorder="1" applyAlignment="1">
      <alignment horizontal="center"/>
    </xf>
    <xf numFmtId="2" fontId="9" fillId="2" borderId="41" xfId="0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1" fillId="2" borderId="40" xfId="0" applyFont="1" applyFill="1" applyBorder="1" applyAlignment="1">
      <alignment horizontal="right"/>
    </xf>
    <xf numFmtId="0" fontId="11" fillId="2" borderId="25" xfId="0" applyFont="1" applyFill="1" applyBorder="1" applyAlignment="1">
      <alignment horizontal="right"/>
    </xf>
    <xf numFmtId="0" fontId="11" fillId="2" borderId="41" xfId="0" applyFont="1" applyFill="1" applyBorder="1" applyAlignment="1">
      <alignment horizontal="right"/>
    </xf>
    <xf numFmtId="0" fontId="0" fillId="2" borderId="0" xfId="0" applyFill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44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left"/>
    </xf>
    <xf numFmtId="0" fontId="21" fillId="5" borderId="13" xfId="0" applyFont="1" applyFill="1" applyBorder="1" applyAlignment="1">
      <alignment horizontal="left"/>
    </xf>
    <xf numFmtId="0" fontId="21" fillId="5" borderId="12" xfId="0" applyFont="1" applyFill="1" applyBorder="1" applyAlignment="1">
      <alignment horizontal="left"/>
    </xf>
    <xf numFmtId="0" fontId="43" fillId="9" borderId="50" xfId="0" applyFont="1" applyFill="1" applyBorder="1" applyAlignment="1">
      <alignment horizontal="center"/>
    </xf>
    <xf numFmtId="0" fontId="43" fillId="9" borderId="17" xfId="0" applyFont="1" applyFill="1" applyBorder="1" applyAlignment="1">
      <alignment horizontal="center"/>
    </xf>
    <xf numFmtId="0" fontId="43" fillId="9" borderId="51" xfId="0" applyFont="1" applyFill="1" applyBorder="1" applyAlignment="1">
      <alignment horizontal="center"/>
    </xf>
    <xf numFmtId="0" fontId="32" fillId="9" borderId="40" xfId="0" applyFont="1" applyFill="1" applyBorder="1" applyAlignment="1">
      <alignment horizontal="center"/>
    </xf>
    <xf numFmtId="0" fontId="32" fillId="9" borderId="25" xfId="0" applyFont="1" applyFill="1" applyBorder="1" applyAlignment="1">
      <alignment horizontal="center"/>
    </xf>
    <xf numFmtId="0" fontId="32" fillId="9" borderId="28" xfId="0" applyFont="1" applyFill="1" applyBorder="1" applyAlignment="1">
      <alignment horizontal="center"/>
    </xf>
    <xf numFmtId="0" fontId="41" fillId="9" borderId="40" xfId="0" applyFont="1" applyFill="1" applyBorder="1" applyAlignment="1">
      <alignment horizontal="center"/>
    </xf>
    <xf numFmtId="0" fontId="41" fillId="9" borderId="25" xfId="0" applyFont="1" applyFill="1" applyBorder="1" applyAlignment="1">
      <alignment horizontal="center"/>
    </xf>
    <xf numFmtId="0" fontId="41" fillId="9" borderId="28" xfId="0" applyFont="1" applyFill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7" borderId="8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left"/>
    </xf>
    <xf numFmtId="0" fontId="1" fillId="7" borderId="44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left"/>
    </xf>
    <xf numFmtId="0" fontId="9" fillId="2" borderId="40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21" fillId="2" borderId="40" xfId="0" applyFont="1" applyFill="1" applyBorder="1" applyAlignment="1">
      <alignment horizontal="left"/>
    </xf>
    <xf numFmtId="0" fontId="21" fillId="2" borderId="25" xfId="0" applyFont="1" applyFill="1" applyBorder="1" applyAlignment="1">
      <alignment horizontal="left"/>
    </xf>
    <xf numFmtId="0" fontId="21" fillId="2" borderId="28" xfId="0" applyFont="1" applyFill="1" applyBorder="1" applyAlignment="1">
      <alignment horizontal="left"/>
    </xf>
    <xf numFmtId="0" fontId="37" fillId="3" borderId="18" xfId="0" applyFont="1" applyFill="1" applyBorder="1" applyAlignment="1">
      <alignment horizontal="center"/>
    </xf>
    <xf numFmtId="0" fontId="37" fillId="3" borderId="23" xfId="0" applyFont="1" applyFill="1" applyBorder="1" applyAlignment="1">
      <alignment horizontal="center"/>
    </xf>
    <xf numFmtId="0" fontId="37" fillId="3" borderId="24" xfId="0" applyFont="1" applyFill="1" applyBorder="1" applyAlignment="1">
      <alignment horizontal="center"/>
    </xf>
    <xf numFmtId="0" fontId="9" fillId="2" borderId="50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0" fontId="35" fillId="2" borderId="19" xfId="0" applyFont="1" applyFill="1" applyBorder="1" applyAlignment="1">
      <alignment horizontal="left"/>
    </xf>
    <xf numFmtId="0" fontId="35" fillId="2" borderId="4" xfId="0" applyFont="1" applyFill="1" applyBorder="1" applyAlignment="1">
      <alignment horizontal="left"/>
    </xf>
    <xf numFmtId="0" fontId="36" fillId="3" borderId="18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/>
    </xf>
    <xf numFmtId="0" fontId="36" fillId="3" borderId="24" xfId="0" applyFont="1" applyFill="1" applyBorder="1" applyAlignment="1">
      <alignment horizontal="center"/>
    </xf>
    <xf numFmtId="0" fontId="15" fillId="2" borderId="50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21" fillId="12" borderId="40" xfId="0" applyFont="1" applyFill="1" applyBorder="1" applyAlignment="1">
      <alignment horizontal="left"/>
    </xf>
    <xf numFmtId="0" fontId="21" fillId="12" borderId="25" xfId="0" applyFont="1" applyFill="1" applyBorder="1" applyAlignment="1">
      <alignment horizontal="left"/>
    </xf>
    <xf numFmtId="0" fontId="21" fillId="12" borderId="28" xfId="0" applyFont="1" applyFill="1" applyBorder="1" applyAlignment="1">
      <alignment horizontal="left"/>
    </xf>
    <xf numFmtId="0" fontId="43" fillId="9" borderId="40" xfId="0" applyFont="1" applyFill="1" applyBorder="1" applyAlignment="1">
      <alignment horizontal="center"/>
    </xf>
    <xf numFmtId="0" fontId="43" fillId="9" borderId="25" xfId="0" applyFont="1" applyFill="1" applyBorder="1" applyAlignment="1">
      <alignment horizontal="center"/>
    </xf>
    <xf numFmtId="0" fontId="43" fillId="9" borderId="28" xfId="0" applyFont="1" applyFill="1" applyBorder="1" applyAlignment="1">
      <alignment horizontal="center"/>
    </xf>
    <xf numFmtId="0" fontId="22" fillId="2" borderId="40" xfId="0" applyFont="1" applyFill="1" applyBorder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22" fillId="2" borderId="50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left"/>
    </xf>
    <xf numFmtId="0" fontId="1" fillId="11" borderId="9" xfId="0" applyFont="1" applyFill="1" applyBorder="1" applyAlignment="1">
      <alignment horizontal="left"/>
    </xf>
    <xf numFmtId="0" fontId="1" fillId="11" borderId="44" xfId="0" applyFont="1" applyFill="1" applyBorder="1" applyAlignment="1">
      <alignment horizontal="left"/>
    </xf>
    <xf numFmtId="0" fontId="1" fillId="11" borderId="11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51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51" fillId="2" borderId="40" xfId="0" applyFont="1" applyFill="1" applyBorder="1" applyAlignment="1">
      <alignment horizontal="center"/>
    </xf>
    <xf numFmtId="0" fontId="51" fillId="2" borderId="25" xfId="0" applyFont="1" applyFill="1" applyBorder="1" applyAlignment="1">
      <alignment horizontal="center"/>
    </xf>
    <xf numFmtId="0" fontId="51" fillId="2" borderId="28" xfId="0" applyFont="1" applyFill="1" applyBorder="1" applyAlignment="1">
      <alignment horizontal="center"/>
    </xf>
    <xf numFmtId="0" fontId="46" fillId="2" borderId="5" xfId="0" applyFont="1" applyFill="1" applyBorder="1" applyAlignment="1">
      <alignment horizontal="center" vertical="center"/>
    </xf>
    <xf numFmtId="0" fontId="46" fillId="2" borderId="6" xfId="0" applyFont="1" applyFill="1" applyBorder="1" applyAlignment="1">
      <alignment horizontal="center" vertical="center"/>
    </xf>
    <xf numFmtId="0" fontId="46" fillId="2" borderId="18" xfId="0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48" fillId="2" borderId="50" xfId="0" applyFont="1" applyFill="1" applyBorder="1" applyAlignment="1">
      <alignment horizontal="left"/>
    </xf>
    <xf numFmtId="0" fontId="48" fillId="2" borderId="17" xfId="0" applyFont="1" applyFill="1" applyBorder="1" applyAlignment="1">
      <alignment horizontal="left"/>
    </xf>
    <xf numFmtId="0" fontId="48" fillId="2" borderId="51" xfId="0" applyFont="1" applyFill="1" applyBorder="1" applyAlignment="1">
      <alignment horizontal="left"/>
    </xf>
    <xf numFmtId="0" fontId="21" fillId="2" borderId="8" xfId="0" applyFont="1" applyFill="1" applyBorder="1" applyAlignment="1">
      <alignment horizontal="left"/>
    </xf>
    <xf numFmtId="0" fontId="21" fillId="2" borderId="9" xfId="0" applyFont="1" applyFill="1" applyBorder="1" applyAlignment="1">
      <alignment horizontal="left"/>
    </xf>
    <xf numFmtId="0" fontId="21" fillId="2" borderId="44" xfId="0" applyFont="1" applyFill="1" applyBorder="1" applyAlignment="1">
      <alignment horizontal="left"/>
    </xf>
    <xf numFmtId="0" fontId="21" fillId="2" borderId="11" xfId="0" applyFont="1" applyFill="1" applyBorder="1" applyAlignment="1">
      <alignment horizontal="left"/>
    </xf>
    <xf numFmtId="0" fontId="37" fillId="13" borderId="18" xfId="0" applyFont="1" applyFill="1" applyBorder="1" applyAlignment="1">
      <alignment horizontal="center"/>
    </xf>
    <xf numFmtId="0" fontId="37" fillId="13" borderId="23" xfId="0" applyFont="1" applyFill="1" applyBorder="1" applyAlignment="1">
      <alignment horizontal="center"/>
    </xf>
    <xf numFmtId="0" fontId="37" fillId="13" borderId="20" xfId="0" applyFont="1" applyFill="1" applyBorder="1" applyAlignment="1">
      <alignment horizontal="center"/>
    </xf>
    <xf numFmtId="0" fontId="37" fillId="13" borderId="21" xfId="0" applyFont="1" applyFill="1" applyBorder="1" applyAlignment="1">
      <alignment horizontal="center"/>
    </xf>
    <xf numFmtId="0" fontId="37" fillId="13" borderId="22" xfId="0" applyFont="1" applyFill="1" applyBorder="1" applyAlignment="1">
      <alignment horizontal="center"/>
    </xf>
    <xf numFmtId="0" fontId="49" fillId="13" borderId="18" xfId="0" applyFont="1" applyFill="1" applyBorder="1" applyAlignment="1">
      <alignment horizontal="center"/>
    </xf>
    <xf numFmtId="0" fontId="49" fillId="13" borderId="55" xfId="0" applyFont="1" applyFill="1" applyBorder="1" applyAlignment="1">
      <alignment horizontal="center"/>
    </xf>
  </cellXfs>
  <cellStyles count="15">
    <cellStyle name="Bad" xfId="14" builtinId="27"/>
    <cellStyle name="Check Cell 2" xfId="6"/>
    <cellStyle name="Comma 2" xfId="7"/>
    <cellStyle name="Comma 2 2" xfId="9"/>
    <cellStyle name="Comma 2 2 2" xfId="13"/>
    <cellStyle name="Comma 2 3" xfId="10"/>
    <cellStyle name="Comma 3" xfId="8"/>
    <cellStyle name="Comma 3 2" xfId="12"/>
    <cellStyle name="Comma 4" xfId="11"/>
    <cellStyle name="Normal" xfId="0" builtinId="0"/>
    <cellStyle name="Normal 2" xfId="1"/>
    <cellStyle name="Normal 2 2" xfId="3"/>
    <cellStyle name="Normal 3" xfId="4"/>
    <cellStyle name="Normal 4" xfId="2"/>
    <cellStyle name="Normal 5" xfId="5"/>
  </cellStyles>
  <dxfs count="0"/>
  <tableStyles count="0" defaultTableStyle="TableStyleMedium2" defaultPivotStyle="PivotStyleMedium9"/>
  <colors>
    <mruColors>
      <color rgb="FFF82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low%20Molds%20-%20Design%20Data/BM351-BM400/BM391%20Veedol%201000ml%20HDPE%20P01%20Single%20Cavity%20Mold%20SSB65%20FN/Partlist/Partlist_BM373%20Motul%203000ml%20HDPE%20P01%20Single%20cavity%20Mold%20SSB65%20FN_Rev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SUMMARY"/>
      <sheetName val="Main Parts"/>
      <sheetName val="MOLD BASE PART'S"/>
      <sheetName val="STANDARD PARTS"/>
      <sheetName val="FASTNERS"/>
      <sheetName val="ELEC"/>
      <sheetName val="WQF"/>
      <sheetName val="SHEET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>
        <row r="1">
          <cell r="A1" t="str">
            <v>WELDURAL</v>
          </cell>
        </row>
        <row r="2">
          <cell r="A2" t="str">
            <v>ALUMOLD1-500</v>
          </cell>
        </row>
        <row r="3">
          <cell r="A3" t="str">
            <v>HOKOTOL/ALUMOLD1-500</v>
          </cell>
        </row>
        <row r="4">
          <cell r="A4" t="str">
            <v>HOKOTOL</v>
          </cell>
        </row>
        <row r="5">
          <cell r="A5" t="str">
            <v>ALUMINIUM</v>
          </cell>
        </row>
        <row r="6">
          <cell r="A6" t="str">
            <v>STEEL</v>
          </cell>
          <cell r="H6" t="str">
            <v>ALUMINIUM</v>
          </cell>
        </row>
        <row r="7">
          <cell r="A7" t="str">
            <v>D2</v>
          </cell>
          <cell r="H7" t="str">
            <v>STEEL</v>
          </cell>
        </row>
        <row r="8">
          <cell r="A8" t="str">
            <v>1,2085</v>
          </cell>
          <cell r="H8" t="str">
            <v>FIBER</v>
          </cell>
        </row>
        <row r="9">
          <cell r="A9" t="str">
            <v>1,2085/D2</v>
          </cell>
        </row>
        <row r="10">
          <cell r="A10">
            <v>2316</v>
          </cell>
        </row>
        <row r="11">
          <cell r="A11" t="str">
            <v>3,3547</v>
          </cell>
        </row>
        <row r="12">
          <cell r="A12" t="str">
            <v>5083</v>
          </cell>
        </row>
        <row r="13">
          <cell r="A13" t="str">
            <v>3,4365</v>
          </cell>
        </row>
        <row r="14">
          <cell r="A14" t="str">
            <v>3,3206</v>
          </cell>
        </row>
        <row r="15">
          <cell r="A15" t="str">
            <v>NYLON</v>
          </cell>
        </row>
        <row r="16">
          <cell r="A16" t="str">
            <v>ACRYLIC</v>
          </cell>
        </row>
        <row r="17">
          <cell r="A17" t="str">
            <v>ABS</v>
          </cell>
        </row>
        <row r="18">
          <cell r="A18" t="str">
            <v>BERILIUM COPPER</v>
          </cell>
        </row>
        <row r="19">
          <cell r="A19" t="str">
            <v>1,2085/RAMAX</v>
          </cell>
        </row>
        <row r="20">
          <cell r="A20" t="str">
            <v>RAMAX</v>
          </cell>
        </row>
        <row r="21">
          <cell r="A21" t="str">
            <v>K340</v>
          </cell>
        </row>
        <row r="22">
          <cell r="A22" t="str">
            <v>M315</v>
          </cell>
        </row>
        <row r="23">
          <cell r="A23" t="str">
            <v>K340/M315</v>
          </cell>
        </row>
        <row r="24">
          <cell r="A24" t="str">
            <v>1,2085/M315/2316</v>
          </cell>
        </row>
        <row r="25">
          <cell r="A25" t="str">
            <v>COPPER</v>
          </cell>
        </row>
        <row r="26">
          <cell r="A26" t="str">
            <v xml:space="preserve">BRASS </v>
          </cell>
        </row>
        <row r="27">
          <cell r="A27" t="str">
            <v>BRONZE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01"/>
  <sheetViews>
    <sheetView workbookViewId="0">
      <selection activeCell="C8" sqref="C8"/>
    </sheetView>
  </sheetViews>
  <sheetFormatPr defaultRowHeight="15" x14ac:dyDescent="0.25"/>
  <cols>
    <col min="1" max="1" width="8.85546875" style="1"/>
    <col min="2" max="2" width="70.7109375" customWidth="1"/>
    <col min="3" max="3" width="50.7109375" style="2" customWidth="1"/>
    <col min="4" max="49" width="8.85546875" style="11"/>
  </cols>
  <sheetData>
    <row r="1" spans="1:3" ht="25.15" customHeight="1" thickTop="1" thickBot="1" x14ac:dyDescent="0.4">
      <c r="A1" s="348" t="s">
        <v>102</v>
      </c>
      <c r="B1" s="349"/>
      <c r="C1" s="350"/>
    </row>
    <row r="2" spans="1:3" ht="25.15" customHeight="1" thickTop="1" x14ac:dyDescent="0.35">
      <c r="A2" s="7" t="s">
        <v>1</v>
      </c>
      <c r="B2" s="8" t="s">
        <v>13</v>
      </c>
      <c r="C2" s="9" t="s">
        <v>14</v>
      </c>
    </row>
    <row r="3" spans="1:3" ht="25.15" customHeight="1" x14ac:dyDescent="0.35">
      <c r="A3" s="3">
        <v>1</v>
      </c>
      <c r="B3" s="4" t="s">
        <v>15</v>
      </c>
      <c r="C3" s="16">
        <f>'Mold and Mask Parts'!V22</f>
        <v>542517.72051075008</v>
      </c>
    </row>
    <row r="4" spans="1:3" ht="25.15" customHeight="1" x14ac:dyDescent="0.35">
      <c r="A4" s="3">
        <v>2</v>
      </c>
      <c r="B4" s="4" t="s">
        <v>61</v>
      </c>
      <c r="C4" s="16">
        <f>'Mold and Mask Parts'!V39</f>
        <v>87964.052653559993</v>
      </c>
    </row>
    <row r="5" spans="1:3" ht="25.15" customHeight="1" x14ac:dyDescent="0.35">
      <c r="A5" s="3">
        <v>3</v>
      </c>
      <c r="B5" s="4" t="s">
        <v>62</v>
      </c>
      <c r="C5" s="16">
        <f>'Mold Base Parts '!V19</f>
        <v>19971.083942000005</v>
      </c>
    </row>
    <row r="6" spans="1:3" ht="25.15" customHeight="1" x14ac:dyDescent="0.35">
      <c r="A6" s="3">
        <v>4</v>
      </c>
      <c r="B6" s="4" t="s">
        <v>71</v>
      </c>
      <c r="C6" s="16">
        <f>'Standard Parts '!L47</f>
        <v>57629</v>
      </c>
    </row>
    <row r="7" spans="1:3" ht="25.15" customHeight="1" x14ac:dyDescent="0.35">
      <c r="A7" s="3">
        <v>5</v>
      </c>
      <c r="B7" s="4" t="s">
        <v>16</v>
      </c>
      <c r="C7" s="16">
        <f>Fastners!L34</f>
        <v>9668</v>
      </c>
    </row>
    <row r="8" spans="1:3" ht="25.15" customHeight="1" x14ac:dyDescent="0.35">
      <c r="A8" s="3">
        <v>6</v>
      </c>
      <c r="B8" s="4" t="s">
        <v>23</v>
      </c>
      <c r="C8" s="16">
        <f>Elec!Z15</f>
        <v>14874.419999999998</v>
      </c>
    </row>
    <row r="9" spans="1:3" ht="25.15" customHeight="1" thickBot="1" x14ac:dyDescent="0.4">
      <c r="A9" s="5"/>
      <c r="B9" s="6" t="s">
        <v>17</v>
      </c>
      <c r="C9" s="17">
        <f>SUM(C3:C8)</f>
        <v>732624.27710631012</v>
      </c>
    </row>
    <row r="10" spans="1:3" ht="25.15" customHeight="1" thickTop="1" x14ac:dyDescent="0.25">
      <c r="A10" s="10"/>
      <c r="B10" s="11"/>
      <c r="C10" s="12"/>
    </row>
    <row r="11" spans="1:3" ht="25.15" customHeight="1" x14ac:dyDescent="0.25">
      <c r="A11" s="10"/>
      <c r="B11" s="11"/>
      <c r="C11" s="12"/>
    </row>
    <row r="12" spans="1:3" ht="25.15" customHeight="1" x14ac:dyDescent="0.25">
      <c r="A12" s="10"/>
      <c r="B12" s="11"/>
      <c r="C12" s="12"/>
    </row>
    <row r="13" spans="1:3" ht="25.15" customHeight="1" x14ac:dyDescent="0.25">
      <c r="A13" s="10"/>
      <c r="B13" s="11"/>
      <c r="C13" s="12"/>
    </row>
    <row r="14" spans="1:3" ht="25.15" customHeight="1" x14ac:dyDescent="0.25">
      <c r="A14" s="10"/>
      <c r="B14" s="11"/>
      <c r="C14" s="12"/>
    </row>
    <row r="15" spans="1:3" ht="25.15" customHeight="1" x14ac:dyDescent="0.25">
      <c r="A15" s="10"/>
      <c r="B15" s="11"/>
      <c r="C15" s="12"/>
    </row>
    <row r="16" spans="1:3" ht="25.15" customHeight="1" x14ac:dyDescent="0.25">
      <c r="A16" s="10"/>
      <c r="B16" s="11"/>
      <c r="C16" s="12"/>
    </row>
    <row r="17" spans="1:3" ht="25.15" customHeight="1" x14ac:dyDescent="0.25">
      <c r="A17" s="10"/>
      <c r="B17" s="11"/>
      <c r="C17" s="12"/>
    </row>
    <row r="18" spans="1:3" ht="25.15" customHeight="1" x14ac:dyDescent="0.25">
      <c r="A18" s="10"/>
      <c r="B18" s="11"/>
      <c r="C18" s="12"/>
    </row>
    <row r="19" spans="1:3" ht="25.15" customHeight="1" x14ac:dyDescent="0.25">
      <c r="A19" s="10"/>
      <c r="B19" s="11"/>
      <c r="C19" s="12"/>
    </row>
    <row r="20" spans="1:3" ht="25.15" customHeight="1" x14ac:dyDescent="0.25">
      <c r="A20" s="10"/>
      <c r="B20" s="11"/>
      <c r="C20" s="12"/>
    </row>
    <row r="21" spans="1:3" ht="25.15" customHeight="1" x14ac:dyDescent="0.25">
      <c r="A21" s="10"/>
      <c r="B21" s="11"/>
      <c r="C21" s="12"/>
    </row>
    <row r="22" spans="1:3" ht="25.15" customHeight="1" x14ac:dyDescent="0.25">
      <c r="A22" s="10"/>
      <c r="B22" s="11"/>
      <c r="C22" s="12"/>
    </row>
    <row r="23" spans="1:3" ht="25.15" customHeight="1" x14ac:dyDescent="0.25">
      <c r="A23" s="10"/>
      <c r="B23" s="11"/>
      <c r="C23" s="12"/>
    </row>
    <row r="24" spans="1:3" ht="25.15" customHeight="1" x14ac:dyDescent="0.25">
      <c r="A24" s="10"/>
      <c r="B24" s="11"/>
      <c r="C24" s="12"/>
    </row>
    <row r="25" spans="1:3" ht="25.15" customHeight="1" x14ac:dyDescent="0.25">
      <c r="A25" s="10"/>
      <c r="B25" s="11"/>
      <c r="C25" s="12"/>
    </row>
    <row r="26" spans="1:3" ht="25.15" customHeight="1" x14ac:dyDescent="0.25">
      <c r="A26" s="10"/>
      <c r="B26" s="11"/>
      <c r="C26" s="12"/>
    </row>
    <row r="27" spans="1:3" ht="25.15" customHeight="1" x14ac:dyDescent="0.25">
      <c r="A27" s="10"/>
      <c r="B27" s="11"/>
      <c r="C27" s="12"/>
    </row>
    <row r="28" spans="1:3" x14ac:dyDescent="0.25">
      <c r="A28" s="10"/>
      <c r="B28" s="11"/>
      <c r="C28" s="12"/>
    </row>
    <row r="29" spans="1:3" x14ac:dyDescent="0.25">
      <c r="A29" s="10"/>
      <c r="B29" s="11"/>
      <c r="C29" s="12"/>
    </row>
    <row r="30" spans="1:3" x14ac:dyDescent="0.25">
      <c r="A30" s="10"/>
      <c r="B30" s="11"/>
      <c r="C30" s="12"/>
    </row>
    <row r="31" spans="1:3" x14ac:dyDescent="0.25">
      <c r="A31" s="10"/>
      <c r="B31" s="11"/>
      <c r="C31" s="12"/>
    </row>
    <row r="32" spans="1:3" x14ac:dyDescent="0.25">
      <c r="A32" s="10"/>
      <c r="B32" s="11"/>
      <c r="C32" s="12"/>
    </row>
    <row r="33" spans="1:3" x14ac:dyDescent="0.25">
      <c r="A33" s="10"/>
      <c r="B33" s="11"/>
      <c r="C33" s="12"/>
    </row>
    <row r="34" spans="1:3" x14ac:dyDescent="0.25">
      <c r="A34" s="10"/>
      <c r="B34" s="11"/>
      <c r="C34" s="12"/>
    </row>
    <row r="35" spans="1:3" x14ac:dyDescent="0.25">
      <c r="A35" s="10"/>
      <c r="B35" s="11"/>
      <c r="C35" s="12"/>
    </row>
    <row r="36" spans="1:3" x14ac:dyDescent="0.25">
      <c r="A36" s="10"/>
      <c r="B36" s="11"/>
      <c r="C36" s="12"/>
    </row>
    <row r="37" spans="1:3" x14ac:dyDescent="0.25">
      <c r="A37" s="10"/>
      <c r="B37" s="11"/>
      <c r="C37" s="12"/>
    </row>
    <row r="38" spans="1:3" x14ac:dyDescent="0.25">
      <c r="A38" s="10"/>
      <c r="B38" s="11"/>
      <c r="C38" s="12"/>
    </row>
    <row r="39" spans="1:3" x14ac:dyDescent="0.25">
      <c r="A39" s="10"/>
      <c r="B39" s="11"/>
      <c r="C39" s="12"/>
    </row>
    <row r="40" spans="1:3" x14ac:dyDescent="0.25">
      <c r="A40" s="10"/>
      <c r="B40" s="11"/>
      <c r="C40" s="12"/>
    </row>
    <row r="41" spans="1:3" x14ac:dyDescent="0.25">
      <c r="A41" s="10"/>
      <c r="B41" s="11"/>
      <c r="C41" s="12"/>
    </row>
    <row r="42" spans="1:3" x14ac:dyDescent="0.25">
      <c r="A42" s="10"/>
      <c r="B42" s="11"/>
      <c r="C42" s="12"/>
    </row>
    <row r="43" spans="1:3" x14ac:dyDescent="0.25">
      <c r="A43" s="10"/>
      <c r="B43" s="11"/>
      <c r="C43" s="12"/>
    </row>
    <row r="44" spans="1:3" x14ac:dyDescent="0.25">
      <c r="A44" s="10"/>
      <c r="B44" s="11"/>
      <c r="C44" s="12"/>
    </row>
    <row r="45" spans="1:3" x14ac:dyDescent="0.25">
      <c r="A45" s="10"/>
      <c r="B45" s="11"/>
      <c r="C45" s="12"/>
    </row>
    <row r="46" spans="1:3" x14ac:dyDescent="0.25">
      <c r="A46" s="10"/>
      <c r="B46" s="11"/>
      <c r="C46" s="12"/>
    </row>
    <row r="47" spans="1:3" x14ac:dyDescent="0.25">
      <c r="A47" s="10"/>
      <c r="B47" s="11"/>
      <c r="C47" s="12"/>
    </row>
    <row r="48" spans="1:3" x14ac:dyDescent="0.25">
      <c r="A48" s="10"/>
      <c r="B48" s="11"/>
      <c r="C48" s="12"/>
    </row>
    <row r="49" spans="1:3" x14ac:dyDescent="0.25">
      <c r="A49" s="10"/>
      <c r="B49" s="11"/>
      <c r="C49" s="12"/>
    </row>
    <row r="50" spans="1:3" x14ac:dyDescent="0.25">
      <c r="A50" s="10"/>
      <c r="B50" s="11"/>
      <c r="C50" s="12"/>
    </row>
    <row r="51" spans="1:3" x14ac:dyDescent="0.25">
      <c r="A51" s="10"/>
      <c r="B51" s="11"/>
      <c r="C51" s="12"/>
    </row>
    <row r="52" spans="1:3" x14ac:dyDescent="0.25">
      <c r="A52" s="10"/>
      <c r="B52" s="11"/>
      <c r="C52" s="12"/>
    </row>
    <row r="53" spans="1:3" x14ac:dyDescent="0.25">
      <c r="A53" s="10"/>
      <c r="B53" s="11"/>
      <c r="C53" s="12"/>
    </row>
    <row r="54" spans="1:3" x14ac:dyDescent="0.25">
      <c r="A54" s="10"/>
      <c r="B54" s="11"/>
      <c r="C54" s="12"/>
    </row>
    <row r="55" spans="1:3" x14ac:dyDescent="0.25">
      <c r="A55" s="10"/>
      <c r="B55" s="11"/>
      <c r="C55" s="12"/>
    </row>
    <row r="56" spans="1:3" x14ac:dyDescent="0.25">
      <c r="A56" s="10"/>
      <c r="B56" s="11"/>
      <c r="C56" s="12"/>
    </row>
    <row r="57" spans="1:3" x14ac:dyDescent="0.25">
      <c r="A57" s="10"/>
      <c r="B57" s="11"/>
      <c r="C57" s="12"/>
    </row>
    <row r="58" spans="1:3" x14ac:dyDescent="0.25">
      <c r="A58" s="10"/>
      <c r="B58" s="11"/>
      <c r="C58" s="12"/>
    </row>
    <row r="59" spans="1:3" x14ac:dyDescent="0.25">
      <c r="A59" s="10"/>
      <c r="B59" s="11"/>
      <c r="C59" s="12"/>
    </row>
    <row r="60" spans="1:3" x14ac:dyDescent="0.25">
      <c r="A60" s="10"/>
      <c r="B60" s="11"/>
      <c r="C60" s="12"/>
    </row>
    <row r="61" spans="1:3" x14ac:dyDescent="0.25">
      <c r="A61" s="10"/>
      <c r="B61" s="11"/>
      <c r="C61" s="12"/>
    </row>
    <row r="62" spans="1:3" x14ac:dyDescent="0.25">
      <c r="A62" s="10"/>
      <c r="B62" s="11"/>
      <c r="C62" s="12"/>
    </row>
    <row r="63" spans="1:3" x14ac:dyDescent="0.25">
      <c r="A63" s="10"/>
      <c r="B63" s="11"/>
      <c r="C63" s="12"/>
    </row>
    <row r="64" spans="1:3" x14ac:dyDescent="0.25">
      <c r="A64" s="10"/>
      <c r="B64" s="11"/>
      <c r="C64" s="12"/>
    </row>
    <row r="65" spans="1:3" x14ac:dyDescent="0.25">
      <c r="A65" s="10"/>
      <c r="B65" s="11"/>
      <c r="C65" s="12"/>
    </row>
    <row r="66" spans="1:3" x14ac:dyDescent="0.25">
      <c r="A66" s="10"/>
      <c r="B66" s="11"/>
      <c r="C66" s="12"/>
    </row>
    <row r="67" spans="1:3" x14ac:dyDescent="0.25">
      <c r="A67" s="10"/>
      <c r="B67" s="11"/>
      <c r="C67" s="12"/>
    </row>
    <row r="68" spans="1:3" x14ac:dyDescent="0.25">
      <c r="A68" s="10"/>
      <c r="B68" s="11"/>
      <c r="C68" s="12"/>
    </row>
    <row r="69" spans="1:3" x14ac:dyDescent="0.25">
      <c r="A69" s="10"/>
      <c r="B69" s="11"/>
      <c r="C69" s="12"/>
    </row>
    <row r="70" spans="1:3" x14ac:dyDescent="0.25">
      <c r="A70" s="10"/>
      <c r="B70" s="11"/>
      <c r="C70" s="12"/>
    </row>
    <row r="71" spans="1:3" x14ac:dyDescent="0.25">
      <c r="A71" s="10"/>
      <c r="B71" s="11"/>
      <c r="C71" s="12"/>
    </row>
    <row r="72" spans="1:3" x14ac:dyDescent="0.25">
      <c r="A72" s="10"/>
      <c r="B72" s="11"/>
      <c r="C72" s="12"/>
    </row>
    <row r="73" spans="1:3" x14ac:dyDescent="0.25">
      <c r="A73" s="10"/>
      <c r="B73" s="11"/>
      <c r="C73" s="12"/>
    </row>
    <row r="74" spans="1:3" x14ac:dyDescent="0.25">
      <c r="A74" s="10"/>
      <c r="B74" s="11"/>
      <c r="C74" s="12"/>
    </row>
    <row r="75" spans="1:3" x14ac:dyDescent="0.25">
      <c r="A75" s="10"/>
      <c r="B75" s="11"/>
      <c r="C75" s="12"/>
    </row>
    <row r="76" spans="1:3" x14ac:dyDescent="0.25">
      <c r="A76" s="10"/>
      <c r="B76" s="11"/>
      <c r="C76" s="12"/>
    </row>
    <row r="77" spans="1:3" x14ac:dyDescent="0.25">
      <c r="A77" s="10"/>
      <c r="B77" s="11"/>
      <c r="C77" s="12"/>
    </row>
    <row r="78" spans="1:3" x14ac:dyDescent="0.25">
      <c r="A78" s="10"/>
      <c r="B78" s="11"/>
      <c r="C78" s="12"/>
    </row>
    <row r="79" spans="1:3" x14ac:dyDescent="0.25">
      <c r="A79" s="10"/>
      <c r="B79" s="11"/>
      <c r="C79" s="12"/>
    </row>
    <row r="80" spans="1:3" x14ac:dyDescent="0.25">
      <c r="A80" s="10"/>
      <c r="B80" s="11"/>
      <c r="C80" s="12"/>
    </row>
    <row r="81" spans="1:3" x14ac:dyDescent="0.25">
      <c r="A81" s="10"/>
      <c r="B81" s="11"/>
      <c r="C81" s="12"/>
    </row>
    <row r="82" spans="1:3" x14ac:dyDescent="0.25">
      <c r="A82" s="10"/>
      <c r="B82" s="11"/>
      <c r="C82" s="12"/>
    </row>
    <row r="83" spans="1:3" x14ac:dyDescent="0.25">
      <c r="A83" s="10"/>
      <c r="B83" s="11"/>
      <c r="C83" s="12"/>
    </row>
    <row r="84" spans="1:3" x14ac:dyDescent="0.25">
      <c r="A84" s="10"/>
      <c r="B84" s="11"/>
      <c r="C84" s="12"/>
    </row>
    <row r="85" spans="1:3" x14ac:dyDescent="0.25">
      <c r="A85" s="10"/>
      <c r="B85" s="11"/>
      <c r="C85" s="12"/>
    </row>
    <row r="86" spans="1:3" x14ac:dyDescent="0.25">
      <c r="A86" s="10"/>
      <c r="B86" s="11"/>
      <c r="C86" s="12"/>
    </row>
    <row r="87" spans="1:3" x14ac:dyDescent="0.25">
      <c r="A87" s="10"/>
      <c r="B87" s="11"/>
      <c r="C87" s="12"/>
    </row>
    <row r="88" spans="1:3" x14ac:dyDescent="0.25">
      <c r="A88" s="10"/>
      <c r="B88" s="11"/>
      <c r="C88" s="12"/>
    </row>
    <row r="89" spans="1:3" x14ac:dyDescent="0.25">
      <c r="A89" s="10"/>
      <c r="B89" s="11"/>
      <c r="C89" s="12"/>
    </row>
    <row r="90" spans="1:3" x14ac:dyDescent="0.25">
      <c r="A90" s="10"/>
      <c r="B90" s="11"/>
      <c r="C90" s="12"/>
    </row>
    <row r="91" spans="1:3" x14ac:dyDescent="0.25">
      <c r="A91" s="10"/>
      <c r="B91" s="11"/>
      <c r="C91" s="12"/>
    </row>
    <row r="92" spans="1:3" x14ac:dyDescent="0.25">
      <c r="A92" s="10"/>
      <c r="B92" s="11"/>
      <c r="C92" s="12"/>
    </row>
    <row r="93" spans="1:3" x14ac:dyDescent="0.25">
      <c r="A93" s="10"/>
      <c r="B93" s="11"/>
      <c r="C93" s="12"/>
    </row>
    <row r="94" spans="1:3" x14ac:dyDescent="0.25">
      <c r="A94" s="10"/>
      <c r="B94" s="11"/>
      <c r="C94" s="12"/>
    </row>
    <row r="95" spans="1:3" x14ac:dyDescent="0.25">
      <c r="A95" s="10"/>
      <c r="B95" s="11"/>
      <c r="C95" s="12"/>
    </row>
    <row r="96" spans="1:3" x14ac:dyDescent="0.25">
      <c r="A96" s="10"/>
      <c r="B96" s="11"/>
      <c r="C96" s="12"/>
    </row>
    <row r="97" spans="1:3" x14ac:dyDescent="0.25">
      <c r="A97" s="10"/>
      <c r="B97" s="11"/>
      <c r="C97" s="12"/>
    </row>
    <row r="98" spans="1:3" x14ac:dyDescent="0.25">
      <c r="A98" s="10"/>
      <c r="B98" s="11"/>
      <c r="C98" s="12"/>
    </row>
    <row r="99" spans="1:3" x14ac:dyDescent="0.25">
      <c r="A99" s="10"/>
      <c r="B99" s="11"/>
      <c r="C99" s="12"/>
    </row>
    <row r="100" spans="1:3" x14ac:dyDescent="0.25">
      <c r="A100" s="10"/>
      <c r="B100" s="11"/>
      <c r="C100" s="12"/>
    </row>
    <row r="101" spans="1:3" x14ac:dyDescent="0.25">
      <c r="A101" s="10"/>
      <c r="B101" s="11"/>
      <c r="C101" s="12"/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H82"/>
  <sheetViews>
    <sheetView topLeftCell="A27" zoomScale="85" zoomScaleNormal="85" zoomScaleSheetLayoutView="85" workbookViewId="0">
      <selection activeCell="A39" sqref="A39:N39"/>
    </sheetView>
  </sheetViews>
  <sheetFormatPr defaultColWidth="9.140625" defaultRowHeight="15" x14ac:dyDescent="0.25"/>
  <cols>
    <col min="1" max="1" width="6.5703125" style="10" bestFit="1" customWidth="1"/>
    <col min="2" max="2" width="34" style="11" bestFit="1" customWidth="1"/>
    <col min="3" max="3" width="16.28515625" style="18" bestFit="1" customWidth="1"/>
    <col min="4" max="4" width="24.28515625" style="18" bestFit="1" customWidth="1"/>
    <col min="5" max="5" width="4" style="10" bestFit="1" customWidth="1"/>
    <col min="6" max="6" width="1.42578125" style="10" customWidth="1"/>
    <col min="7" max="7" width="3.7109375" style="10" customWidth="1"/>
    <col min="8" max="8" width="7.7109375" style="12" customWidth="1"/>
    <col min="9" max="9" width="1.7109375" style="19" customWidth="1"/>
    <col min="10" max="10" width="7.7109375" style="10" customWidth="1"/>
    <col min="11" max="11" width="1.42578125" style="19" customWidth="1"/>
    <col min="12" max="12" width="7.7109375" style="19" customWidth="1"/>
    <col min="13" max="13" width="9.42578125" style="19" customWidth="1"/>
    <col min="14" max="14" width="18.140625" style="10" customWidth="1"/>
    <col min="15" max="15" width="9.85546875" style="10" bestFit="1" customWidth="1"/>
    <col min="16" max="16" width="9.42578125" style="10" bestFit="1" customWidth="1"/>
    <col min="17" max="17" width="6.5703125" style="10" bestFit="1" customWidth="1"/>
    <col min="18" max="18" width="4.42578125" style="10" bestFit="1" customWidth="1"/>
    <col min="19" max="20" width="8.28515625" style="10" bestFit="1" customWidth="1"/>
    <col min="21" max="21" width="6.42578125" style="10" customWidth="1"/>
    <col min="22" max="22" width="15.7109375" style="10" bestFit="1" customWidth="1"/>
    <col min="23" max="23" width="8.85546875" style="78"/>
    <col min="24" max="28" width="8.85546875" style="11"/>
    <col min="29" max="29" width="2.28515625" style="11" bestFit="1" customWidth="1"/>
    <col min="30" max="34" width="8.85546875" style="11" customWidth="1"/>
    <col min="35" max="16384" width="9.140625" style="11"/>
  </cols>
  <sheetData>
    <row r="1" spans="1:34" ht="25.15" customHeight="1" thickTop="1" x14ac:dyDescent="0.25">
      <c r="A1" s="361" t="s">
        <v>0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3"/>
      <c r="N1" s="364"/>
    </row>
    <row r="2" spans="1:34" ht="25.15" customHeight="1" x14ac:dyDescent="0.25">
      <c r="A2" s="365" t="s">
        <v>266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7"/>
      <c r="N2" s="368"/>
    </row>
    <row r="3" spans="1:34" ht="25.15" customHeight="1" x14ac:dyDescent="0.4">
      <c r="A3" s="369" t="s">
        <v>98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1"/>
      <c r="N3" s="372"/>
    </row>
    <row r="4" spans="1:34" ht="25.15" customHeight="1" thickBot="1" x14ac:dyDescent="0.45">
      <c r="A4" s="373" t="s">
        <v>19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5"/>
      <c r="N4" s="376"/>
    </row>
    <row r="5" spans="1:34" ht="27.6" customHeight="1" thickTop="1" x14ac:dyDescent="0.25">
      <c r="A5" s="48" t="s">
        <v>1</v>
      </c>
      <c r="B5" s="49" t="s">
        <v>2</v>
      </c>
      <c r="C5" s="50" t="s">
        <v>3</v>
      </c>
      <c r="D5" s="50" t="s">
        <v>50</v>
      </c>
      <c r="E5" s="382" t="s">
        <v>18</v>
      </c>
      <c r="F5" s="383"/>
      <c r="G5" s="384"/>
      <c r="H5" s="379" t="s">
        <v>4</v>
      </c>
      <c r="I5" s="380"/>
      <c r="J5" s="380"/>
      <c r="K5" s="380"/>
      <c r="L5" s="381"/>
      <c r="M5" s="77" t="s">
        <v>55</v>
      </c>
      <c r="N5" s="51" t="s">
        <v>5</v>
      </c>
      <c r="O5" s="52" t="s">
        <v>6</v>
      </c>
      <c r="P5" s="53" t="s">
        <v>7</v>
      </c>
      <c r="Q5" s="53" t="s">
        <v>8</v>
      </c>
      <c r="R5" s="53" t="s">
        <v>9</v>
      </c>
      <c r="S5" s="53" t="s">
        <v>10</v>
      </c>
      <c r="T5" s="54" t="s">
        <v>46</v>
      </c>
      <c r="U5" s="53" t="s">
        <v>11</v>
      </c>
      <c r="V5" s="55" t="s">
        <v>12</v>
      </c>
      <c r="AB5" s="45"/>
      <c r="AC5" s="45"/>
      <c r="AD5" s="45"/>
    </row>
    <row r="6" spans="1:34" ht="25.15" customHeight="1" x14ac:dyDescent="0.25">
      <c r="A6" s="80">
        <v>1</v>
      </c>
      <c r="B6" s="79" t="s">
        <v>72</v>
      </c>
      <c r="C6" s="70" t="s">
        <v>21</v>
      </c>
      <c r="D6" s="70" t="s">
        <v>49</v>
      </c>
      <c r="E6" s="65">
        <v>2</v>
      </c>
      <c r="F6" s="248"/>
      <c r="G6" s="41"/>
      <c r="H6" s="88">
        <v>1230</v>
      </c>
      <c r="I6" s="85" t="s">
        <v>20</v>
      </c>
      <c r="J6" s="85">
        <v>126</v>
      </c>
      <c r="K6" s="85" t="s">
        <v>20</v>
      </c>
      <c r="L6" s="89">
        <v>246.45400000000001</v>
      </c>
      <c r="M6" s="47" t="s">
        <v>56</v>
      </c>
      <c r="N6" s="83"/>
      <c r="O6" s="39">
        <f t="shared" ref="O6:O14" si="0">H6+5</f>
        <v>1235</v>
      </c>
      <c r="P6" s="40">
        <f t="shared" ref="P6:P14" si="1">J6+5</f>
        <v>131</v>
      </c>
      <c r="Q6" s="40">
        <f t="shared" ref="Q6:Q14" si="2">L6+5</f>
        <v>251.45400000000001</v>
      </c>
      <c r="R6" s="38">
        <f t="shared" ref="R6:R10" si="3">E6+G6</f>
        <v>2</v>
      </c>
      <c r="S6" s="40">
        <f t="shared" ref="S6:S10" si="4">SUM(O6*P6*Q6)*W6/1000000</f>
        <v>122.04445617</v>
      </c>
      <c r="T6" s="40">
        <f t="shared" ref="T6:T10" si="5">SUM(R6*S6)</f>
        <v>244.08891234000001</v>
      </c>
      <c r="U6" s="38">
        <v>1200</v>
      </c>
      <c r="V6" s="43">
        <f t="shared" ref="V6:V10" si="6">SUM(T6*U6)</f>
        <v>292906.694808</v>
      </c>
      <c r="W6" s="78">
        <v>3</v>
      </c>
      <c r="AB6" s="45"/>
      <c r="AC6" s="45"/>
      <c r="AD6" s="45"/>
      <c r="AH6" s="89">
        <v>246.7</v>
      </c>
    </row>
    <row r="7" spans="1:34" ht="25.15" customHeight="1" x14ac:dyDescent="0.25">
      <c r="A7" s="80">
        <v>2</v>
      </c>
      <c r="B7" s="79" t="s">
        <v>73</v>
      </c>
      <c r="C7" s="70" t="s">
        <v>51</v>
      </c>
      <c r="D7" s="70" t="s">
        <v>22</v>
      </c>
      <c r="E7" s="65">
        <v>2</v>
      </c>
      <c r="F7" s="248"/>
      <c r="G7" s="41"/>
      <c r="H7" s="88">
        <v>1230</v>
      </c>
      <c r="I7" s="85" t="s">
        <v>20</v>
      </c>
      <c r="J7" s="85">
        <v>101</v>
      </c>
      <c r="K7" s="85" t="s">
        <v>20</v>
      </c>
      <c r="L7" s="89">
        <v>55.6</v>
      </c>
      <c r="M7" s="47"/>
      <c r="N7" s="83"/>
      <c r="O7" s="39">
        <f t="shared" si="0"/>
        <v>1235</v>
      </c>
      <c r="P7" s="40">
        <f t="shared" si="1"/>
        <v>106</v>
      </c>
      <c r="Q7" s="40">
        <f t="shared" si="2"/>
        <v>60.6</v>
      </c>
      <c r="R7" s="38">
        <f>E7+G7</f>
        <v>2</v>
      </c>
      <c r="S7" s="40">
        <f>SUM(O7*P7*Q7)*W7/1000000</f>
        <v>63.861825300000007</v>
      </c>
      <c r="T7" s="40">
        <f>SUM(R7*S7)</f>
        <v>127.72365060000001</v>
      </c>
      <c r="U7" s="38">
        <v>400</v>
      </c>
      <c r="V7" s="43">
        <f>SUM(T7*U7)</f>
        <v>51089.460240000008</v>
      </c>
      <c r="W7" s="78">
        <v>8.0500000000000007</v>
      </c>
      <c r="AB7" s="45"/>
      <c r="AC7" s="45"/>
      <c r="AD7" s="45"/>
      <c r="AH7" s="89">
        <v>55.5</v>
      </c>
    </row>
    <row r="8" spans="1:34" ht="25.15" customHeight="1" x14ac:dyDescent="0.25">
      <c r="A8" s="80">
        <v>3</v>
      </c>
      <c r="B8" s="79" t="s">
        <v>94</v>
      </c>
      <c r="C8" s="70" t="s">
        <v>21</v>
      </c>
      <c r="D8" s="70" t="s">
        <v>49</v>
      </c>
      <c r="E8" s="65">
        <v>2</v>
      </c>
      <c r="F8" s="248"/>
      <c r="G8" s="41"/>
      <c r="H8" s="88">
        <v>1230</v>
      </c>
      <c r="I8" s="85" t="s">
        <v>20</v>
      </c>
      <c r="J8" s="85">
        <v>126</v>
      </c>
      <c r="K8" s="85" t="s">
        <v>20</v>
      </c>
      <c r="L8" s="44">
        <v>115</v>
      </c>
      <c r="M8" s="47" t="s">
        <v>56</v>
      </c>
      <c r="N8" s="83"/>
      <c r="O8" s="39">
        <f t="shared" ref="O8" si="7">H8+5</f>
        <v>1235</v>
      </c>
      <c r="P8" s="40">
        <f t="shared" ref="P8" si="8">J8+5</f>
        <v>131</v>
      </c>
      <c r="Q8" s="40">
        <f t="shared" ref="Q8" si="9">L8+5</f>
        <v>120</v>
      </c>
      <c r="R8" s="38">
        <f>E8+G8</f>
        <v>2</v>
      </c>
      <c r="S8" s="40">
        <f>SUM(O8*P8*Q8)*W8/1000000</f>
        <v>58.242600000000003</v>
      </c>
      <c r="T8" s="40">
        <f>SUM(R8*S8)</f>
        <v>116.48520000000001</v>
      </c>
      <c r="U8" s="38">
        <v>1200</v>
      </c>
      <c r="V8" s="43">
        <f>SUM(T8*U8)</f>
        <v>139782.24000000002</v>
      </c>
      <c r="W8" s="78">
        <v>3</v>
      </c>
      <c r="AB8" s="45"/>
      <c r="AC8" s="45"/>
      <c r="AD8" s="45"/>
      <c r="AH8" s="147">
        <v>133.19999999999999</v>
      </c>
    </row>
    <row r="9" spans="1:34" ht="25.15" customHeight="1" x14ac:dyDescent="0.25">
      <c r="A9" s="80">
        <v>4</v>
      </c>
      <c r="B9" s="79" t="s">
        <v>74</v>
      </c>
      <c r="C9" s="70" t="s">
        <v>51</v>
      </c>
      <c r="D9" s="70" t="s">
        <v>22</v>
      </c>
      <c r="E9" s="94">
        <v>8</v>
      </c>
      <c r="F9" s="249" t="s">
        <v>26</v>
      </c>
      <c r="G9" s="138">
        <v>2</v>
      </c>
      <c r="H9" s="88">
        <v>145</v>
      </c>
      <c r="I9" s="85" t="s">
        <v>20</v>
      </c>
      <c r="J9" s="85">
        <v>58</v>
      </c>
      <c r="K9" s="85" t="s">
        <v>20</v>
      </c>
      <c r="L9" s="89">
        <v>15.41</v>
      </c>
      <c r="M9" s="47"/>
      <c r="N9" s="20" t="s">
        <v>57</v>
      </c>
      <c r="O9" s="39">
        <f t="shared" si="0"/>
        <v>150</v>
      </c>
      <c r="P9" s="40">
        <f t="shared" si="1"/>
        <v>63</v>
      </c>
      <c r="Q9" s="40">
        <f t="shared" si="2"/>
        <v>20.41</v>
      </c>
      <c r="R9" s="38">
        <f>E9+G9</f>
        <v>10</v>
      </c>
      <c r="S9" s="40">
        <f>SUM(O9*P9*Q9)*W9/1000000</f>
        <v>1.5526397250000001</v>
      </c>
      <c r="T9" s="40">
        <f>SUM(R9*S9)</f>
        <v>15.526397250000002</v>
      </c>
      <c r="U9" s="38">
        <v>480</v>
      </c>
      <c r="V9" s="43">
        <f>SUM(T9*U9)</f>
        <v>7452.6706800000011</v>
      </c>
      <c r="W9" s="78">
        <v>8.0500000000000007</v>
      </c>
      <c r="X9" s="78"/>
      <c r="AH9" s="89">
        <v>15.6</v>
      </c>
    </row>
    <row r="10" spans="1:34" ht="25.15" customHeight="1" x14ac:dyDescent="0.25">
      <c r="A10" s="80">
        <v>5</v>
      </c>
      <c r="B10" s="79" t="s">
        <v>92</v>
      </c>
      <c r="C10" s="70" t="s">
        <v>51</v>
      </c>
      <c r="D10" s="70" t="s">
        <v>27</v>
      </c>
      <c r="E10" s="94">
        <v>20</v>
      </c>
      <c r="F10" s="249" t="s">
        <v>26</v>
      </c>
      <c r="G10" s="138">
        <v>4</v>
      </c>
      <c r="H10" s="88">
        <v>60</v>
      </c>
      <c r="I10" s="85" t="s">
        <v>20</v>
      </c>
      <c r="J10" s="85">
        <v>58</v>
      </c>
      <c r="K10" s="85" t="s">
        <v>20</v>
      </c>
      <c r="L10" s="89">
        <v>14.7</v>
      </c>
      <c r="M10" s="84" t="s">
        <v>69</v>
      </c>
      <c r="N10" s="20"/>
      <c r="O10" s="39">
        <f t="shared" si="0"/>
        <v>65</v>
      </c>
      <c r="P10" s="40">
        <f t="shared" si="1"/>
        <v>63</v>
      </c>
      <c r="Q10" s="40">
        <f t="shared" si="2"/>
        <v>19.7</v>
      </c>
      <c r="R10" s="38">
        <f t="shared" si="3"/>
        <v>24</v>
      </c>
      <c r="S10" s="40">
        <f t="shared" si="4"/>
        <v>0.64940557500000007</v>
      </c>
      <c r="T10" s="40">
        <f t="shared" si="5"/>
        <v>15.585733800000002</v>
      </c>
      <c r="U10" s="38">
        <v>380</v>
      </c>
      <c r="V10" s="43">
        <f t="shared" si="6"/>
        <v>5922.5788440000006</v>
      </c>
      <c r="W10" s="78">
        <v>8.0500000000000007</v>
      </c>
      <c r="AH10" s="89">
        <v>14.35</v>
      </c>
    </row>
    <row r="11" spans="1:34" ht="25.15" customHeight="1" x14ac:dyDescent="0.25">
      <c r="A11" s="80">
        <v>6</v>
      </c>
      <c r="B11" s="79" t="s">
        <v>96</v>
      </c>
      <c r="C11" s="139" t="s">
        <v>51</v>
      </c>
      <c r="D11" s="139" t="s">
        <v>22</v>
      </c>
      <c r="E11" s="65">
        <v>2</v>
      </c>
      <c r="F11" s="248"/>
      <c r="G11" s="41"/>
      <c r="H11" s="42">
        <v>210</v>
      </c>
      <c r="I11" s="47" t="s">
        <v>20</v>
      </c>
      <c r="J11" s="47">
        <v>105</v>
      </c>
      <c r="K11" s="47" t="s">
        <v>20</v>
      </c>
      <c r="L11" s="44">
        <v>5</v>
      </c>
      <c r="M11" s="47"/>
      <c r="N11" s="20" t="s">
        <v>57</v>
      </c>
      <c r="O11" s="39">
        <f t="shared" ref="O11" si="10">H11+5</f>
        <v>215</v>
      </c>
      <c r="P11" s="40">
        <f t="shared" ref="P11" si="11">J11+5</f>
        <v>110</v>
      </c>
      <c r="Q11" s="40">
        <f t="shared" ref="Q11" si="12">L11+5</f>
        <v>10</v>
      </c>
      <c r="R11" s="38">
        <f t="shared" ref="R11:R19" si="13">E11+G11</f>
        <v>2</v>
      </c>
      <c r="S11" s="40">
        <f t="shared" ref="S11:S19" si="14">SUM(O11*P11*Q11)*W11/1000000</f>
        <v>1.9038250000000003</v>
      </c>
      <c r="T11" s="40">
        <f>SUM(R11*S11)</f>
        <v>3.8076500000000006</v>
      </c>
      <c r="U11" s="38">
        <v>480</v>
      </c>
      <c r="V11" s="43">
        <f>SUM(T11*U11)</f>
        <v>1827.6720000000003</v>
      </c>
      <c r="W11" s="78">
        <v>8.0500000000000007</v>
      </c>
      <c r="X11" s="78"/>
      <c r="AH11" s="44">
        <v>5</v>
      </c>
    </row>
    <row r="12" spans="1:34" ht="25.15" customHeight="1" x14ac:dyDescent="0.25">
      <c r="A12" s="80">
        <v>7</v>
      </c>
      <c r="B12" s="79" t="s">
        <v>90</v>
      </c>
      <c r="C12" s="70" t="s">
        <v>21</v>
      </c>
      <c r="D12" s="70" t="s">
        <v>49</v>
      </c>
      <c r="E12" s="65">
        <v>1</v>
      </c>
      <c r="F12" s="248"/>
      <c r="G12" s="41"/>
      <c r="H12" s="88">
        <v>1230</v>
      </c>
      <c r="I12" s="85" t="s">
        <v>20</v>
      </c>
      <c r="J12" s="85">
        <v>361.95400000000001</v>
      </c>
      <c r="K12" s="85" t="s">
        <v>20</v>
      </c>
      <c r="L12" s="89">
        <v>10</v>
      </c>
      <c r="M12" s="47"/>
      <c r="N12" s="83"/>
      <c r="O12" s="39">
        <f>H12+5</f>
        <v>1235</v>
      </c>
      <c r="P12" s="40">
        <f>J12+5</f>
        <v>366.95400000000001</v>
      </c>
      <c r="Q12" s="40">
        <f>L12+5</f>
        <v>15</v>
      </c>
      <c r="R12" s="38">
        <f>E12+G12</f>
        <v>1</v>
      </c>
      <c r="S12" s="40">
        <f>SUM(O12*P12*Q12)*W12/1000000</f>
        <v>20.393468549999998</v>
      </c>
      <c r="T12" s="40">
        <f t="shared" ref="T12" si="15">SUM(R12*S12)</f>
        <v>20.393468549999998</v>
      </c>
      <c r="U12" s="38">
        <v>500</v>
      </c>
      <c r="V12" s="43">
        <f t="shared" ref="V12" si="16">SUM(T12*U12)</f>
        <v>10196.734274999999</v>
      </c>
      <c r="W12" s="78">
        <v>3</v>
      </c>
      <c r="AB12" s="45"/>
      <c r="AC12" s="45"/>
      <c r="AD12" s="45"/>
      <c r="AH12" s="89">
        <v>10</v>
      </c>
    </row>
    <row r="13" spans="1:34" ht="25.15" customHeight="1" x14ac:dyDescent="0.25">
      <c r="A13" s="80">
        <v>8</v>
      </c>
      <c r="B13" s="79" t="s">
        <v>262</v>
      </c>
      <c r="C13" s="139" t="s">
        <v>51</v>
      </c>
      <c r="D13" s="139" t="s">
        <v>22</v>
      </c>
      <c r="E13" s="94">
        <v>2</v>
      </c>
      <c r="F13" s="249"/>
      <c r="G13" s="138"/>
      <c r="H13" s="42">
        <v>200</v>
      </c>
      <c r="I13" s="47" t="s">
        <v>20</v>
      </c>
      <c r="J13" s="47">
        <v>200</v>
      </c>
      <c r="K13" s="47" t="s">
        <v>20</v>
      </c>
      <c r="L13" s="44">
        <v>9.3000000000000007</v>
      </c>
      <c r="M13" s="47"/>
      <c r="N13" s="20"/>
      <c r="O13" s="39">
        <f t="shared" si="0"/>
        <v>205</v>
      </c>
      <c r="P13" s="40">
        <f t="shared" si="1"/>
        <v>205</v>
      </c>
      <c r="Q13" s="40">
        <f t="shared" si="2"/>
        <v>14.3</v>
      </c>
      <c r="R13" s="38">
        <f t="shared" si="13"/>
        <v>2</v>
      </c>
      <c r="S13" s="40">
        <f t="shared" si="14"/>
        <v>4.8377078750000004</v>
      </c>
      <c r="T13" s="40">
        <f t="shared" ref="T13:T21" si="17">SUM(R13*S13)</f>
        <v>9.6754157500000009</v>
      </c>
      <c r="U13" s="38">
        <v>480</v>
      </c>
      <c r="V13" s="43">
        <f t="shared" ref="V13:V21" si="18">SUM(T13*U13)</f>
        <v>4644.19956</v>
      </c>
      <c r="W13" s="78">
        <v>8.0500000000000007</v>
      </c>
      <c r="X13" s="78"/>
      <c r="AH13" s="44">
        <v>5</v>
      </c>
    </row>
    <row r="14" spans="1:34" ht="25.15" customHeight="1" x14ac:dyDescent="0.25">
      <c r="A14" s="80">
        <v>9</v>
      </c>
      <c r="B14" s="79" t="s">
        <v>263</v>
      </c>
      <c r="C14" s="139" t="s">
        <v>51</v>
      </c>
      <c r="D14" s="139" t="s">
        <v>22</v>
      </c>
      <c r="E14" s="94">
        <v>1</v>
      </c>
      <c r="F14" s="249"/>
      <c r="G14" s="138"/>
      <c r="H14" s="42">
        <v>200</v>
      </c>
      <c r="I14" s="47" t="s">
        <v>20</v>
      </c>
      <c r="J14" s="47">
        <v>200</v>
      </c>
      <c r="K14" s="47" t="s">
        <v>20</v>
      </c>
      <c r="L14" s="44">
        <v>9.3000000000000007</v>
      </c>
      <c r="M14" s="47"/>
      <c r="N14" s="20"/>
      <c r="O14" s="39">
        <f t="shared" si="0"/>
        <v>205</v>
      </c>
      <c r="P14" s="40">
        <f t="shared" si="1"/>
        <v>205</v>
      </c>
      <c r="Q14" s="40">
        <f t="shared" si="2"/>
        <v>14.3</v>
      </c>
      <c r="R14" s="38">
        <f t="shared" si="13"/>
        <v>1</v>
      </c>
      <c r="S14" s="40">
        <f t="shared" si="14"/>
        <v>4.8377078750000004</v>
      </c>
      <c r="T14" s="40">
        <f t="shared" si="17"/>
        <v>4.8377078750000004</v>
      </c>
      <c r="U14" s="38">
        <v>480</v>
      </c>
      <c r="V14" s="43">
        <f t="shared" si="18"/>
        <v>2322.09978</v>
      </c>
      <c r="W14" s="78">
        <v>8.0500000000000007</v>
      </c>
      <c r="X14" s="78"/>
      <c r="AH14" s="44">
        <v>5</v>
      </c>
    </row>
    <row r="15" spans="1:34" ht="24.75" customHeight="1" x14ac:dyDescent="0.25">
      <c r="A15" s="80">
        <v>10</v>
      </c>
      <c r="B15" s="79" t="s">
        <v>264</v>
      </c>
      <c r="C15" s="139" t="s">
        <v>51</v>
      </c>
      <c r="D15" s="139" t="s">
        <v>22</v>
      </c>
      <c r="E15" s="94">
        <v>1</v>
      </c>
      <c r="F15" s="249"/>
      <c r="G15" s="138"/>
      <c r="H15" s="42">
        <v>200</v>
      </c>
      <c r="I15" s="47" t="s">
        <v>20</v>
      </c>
      <c r="J15" s="47">
        <v>200</v>
      </c>
      <c r="K15" s="47" t="s">
        <v>20</v>
      </c>
      <c r="L15" s="44">
        <v>9.3000000000000007</v>
      </c>
      <c r="M15" s="47"/>
      <c r="N15" s="20"/>
      <c r="O15" s="39">
        <f t="shared" ref="O15" si="19">H15+5</f>
        <v>205</v>
      </c>
      <c r="P15" s="40">
        <f t="shared" ref="P15" si="20">J15+5</f>
        <v>205</v>
      </c>
      <c r="Q15" s="40">
        <f t="shared" ref="Q15" si="21">L15+5</f>
        <v>14.3</v>
      </c>
      <c r="R15" s="38">
        <f t="shared" si="13"/>
        <v>1</v>
      </c>
      <c r="S15" s="40">
        <f t="shared" si="14"/>
        <v>4.8377078750000004</v>
      </c>
      <c r="T15" s="40">
        <f t="shared" si="17"/>
        <v>4.8377078750000004</v>
      </c>
      <c r="U15" s="38">
        <v>480</v>
      </c>
      <c r="V15" s="43">
        <f t="shared" si="18"/>
        <v>2322.09978</v>
      </c>
      <c r="W15" s="78">
        <v>8.0500000000000007</v>
      </c>
      <c r="X15" s="78"/>
      <c r="AH15" s="44">
        <v>5</v>
      </c>
    </row>
    <row r="16" spans="1:34" s="102" customFormat="1" ht="45" x14ac:dyDescent="0.25">
      <c r="A16" s="308" t="s">
        <v>273</v>
      </c>
      <c r="B16" s="299" t="s">
        <v>279</v>
      </c>
      <c r="C16" s="309" t="s">
        <v>280</v>
      </c>
      <c r="D16" s="309" t="s">
        <v>280</v>
      </c>
      <c r="E16" s="300">
        <v>150</v>
      </c>
      <c r="F16" s="301"/>
      <c r="G16" s="302"/>
      <c r="H16" s="303"/>
      <c r="I16" s="304" t="s">
        <v>284</v>
      </c>
      <c r="J16" s="305">
        <v>13</v>
      </c>
      <c r="K16" s="305" t="s">
        <v>20</v>
      </c>
      <c r="L16" s="306">
        <v>40</v>
      </c>
      <c r="M16" s="305"/>
      <c r="N16" s="307" t="s">
        <v>288</v>
      </c>
      <c r="O16" s="344">
        <v>15</v>
      </c>
      <c r="P16" s="345">
        <v>500</v>
      </c>
      <c r="Q16" s="346"/>
      <c r="R16" s="347">
        <v>15</v>
      </c>
      <c r="S16" s="92">
        <f>SUM(3.14*(O16*O16)/4*P16*W16/1000000)</f>
        <v>0.770968125</v>
      </c>
      <c r="T16" s="86">
        <f t="shared" si="17"/>
        <v>11.564521875000001</v>
      </c>
      <c r="U16" s="87">
        <v>650</v>
      </c>
      <c r="V16" s="93">
        <f t="shared" si="18"/>
        <v>7516.9392187500007</v>
      </c>
      <c r="W16" s="90">
        <v>8.73</v>
      </c>
    </row>
    <row r="17" spans="1:34" s="102" customFormat="1" ht="45" x14ac:dyDescent="0.25">
      <c r="A17" s="308" t="s">
        <v>274</v>
      </c>
      <c r="B17" s="299" t="s">
        <v>281</v>
      </c>
      <c r="C17" s="309" t="s">
        <v>280</v>
      </c>
      <c r="D17" s="309" t="s">
        <v>280</v>
      </c>
      <c r="E17" s="300">
        <v>240</v>
      </c>
      <c r="F17" s="301"/>
      <c r="G17" s="302"/>
      <c r="H17" s="303"/>
      <c r="I17" s="304" t="s">
        <v>284</v>
      </c>
      <c r="J17" s="305">
        <v>13</v>
      </c>
      <c r="K17" s="305" t="s">
        <v>20</v>
      </c>
      <c r="L17" s="306">
        <v>40</v>
      </c>
      <c r="M17" s="305"/>
      <c r="N17" s="307" t="s">
        <v>283</v>
      </c>
      <c r="O17" s="344">
        <v>15</v>
      </c>
      <c r="P17" s="345">
        <v>500</v>
      </c>
      <c r="Q17" s="346"/>
      <c r="R17" s="347">
        <v>24</v>
      </c>
      <c r="S17" s="92">
        <f>SUM(3.14*(O17*O17)/4*P17*W17/1000000)</f>
        <v>0.770968125</v>
      </c>
      <c r="T17" s="86">
        <f t="shared" si="17"/>
        <v>18.503235</v>
      </c>
      <c r="U17" s="87">
        <v>650</v>
      </c>
      <c r="V17" s="93">
        <f t="shared" si="18"/>
        <v>12027.10275</v>
      </c>
      <c r="W17" s="90">
        <v>8.73</v>
      </c>
    </row>
    <row r="18" spans="1:34" s="102" customFormat="1" ht="45" x14ac:dyDescent="0.25">
      <c r="A18" s="308" t="s">
        <v>275</v>
      </c>
      <c r="B18" s="299" t="s">
        <v>282</v>
      </c>
      <c r="C18" s="309" t="s">
        <v>280</v>
      </c>
      <c r="D18" s="309" t="s">
        <v>280</v>
      </c>
      <c r="E18" s="300">
        <v>50</v>
      </c>
      <c r="F18" s="301"/>
      <c r="G18" s="302"/>
      <c r="H18" s="303"/>
      <c r="I18" s="304" t="s">
        <v>284</v>
      </c>
      <c r="J18" s="305">
        <v>10</v>
      </c>
      <c r="K18" s="305" t="s">
        <v>20</v>
      </c>
      <c r="L18" s="306">
        <v>35</v>
      </c>
      <c r="M18" s="305"/>
      <c r="N18" s="307" t="s">
        <v>287</v>
      </c>
      <c r="O18" s="344">
        <v>12</v>
      </c>
      <c r="P18" s="345">
        <v>500</v>
      </c>
      <c r="Q18" s="346"/>
      <c r="R18" s="347">
        <v>5</v>
      </c>
      <c r="S18" s="92">
        <f>SUM(3.14*(O18*O18)/4*P18*W18/1000000)</f>
        <v>0.49341960000000001</v>
      </c>
      <c r="T18" s="86">
        <f t="shared" ref="T18" si="22">SUM(R18*S18)</f>
        <v>2.467098</v>
      </c>
      <c r="U18" s="87">
        <v>650</v>
      </c>
      <c r="V18" s="93">
        <f t="shared" ref="V18" si="23">SUM(T18*U18)</f>
        <v>1603.6137000000001</v>
      </c>
      <c r="W18" s="90">
        <v>8.73</v>
      </c>
    </row>
    <row r="19" spans="1:34" s="102" customFormat="1" ht="25.15" customHeight="1" x14ac:dyDescent="0.25">
      <c r="A19" s="280" t="s">
        <v>320</v>
      </c>
      <c r="B19" s="281" t="s">
        <v>265</v>
      </c>
      <c r="C19" s="282" t="s">
        <v>51</v>
      </c>
      <c r="D19" s="282" t="s">
        <v>256</v>
      </c>
      <c r="E19" s="283">
        <v>1</v>
      </c>
      <c r="F19" s="284"/>
      <c r="G19" s="285"/>
      <c r="H19" s="286">
        <v>250</v>
      </c>
      <c r="I19" s="287" t="s">
        <v>20</v>
      </c>
      <c r="J19" s="287">
        <v>200</v>
      </c>
      <c r="K19" s="287" t="s">
        <v>20</v>
      </c>
      <c r="L19" s="288">
        <v>18</v>
      </c>
      <c r="M19" s="278"/>
      <c r="N19" s="279"/>
      <c r="O19" s="99">
        <f t="shared" ref="O19" si="24">H19+5</f>
        <v>255</v>
      </c>
      <c r="P19" s="86">
        <f t="shared" ref="P19" si="25">J19+5</f>
        <v>205</v>
      </c>
      <c r="Q19" s="86">
        <f t="shared" ref="Q19" si="26">L19+5</f>
        <v>23</v>
      </c>
      <c r="R19" s="87">
        <f t="shared" si="13"/>
        <v>1</v>
      </c>
      <c r="S19" s="86">
        <f t="shared" si="14"/>
        <v>9.6787162500000008</v>
      </c>
      <c r="T19" s="86">
        <f t="shared" si="17"/>
        <v>9.6787162500000008</v>
      </c>
      <c r="U19" s="87">
        <v>100</v>
      </c>
      <c r="V19" s="93">
        <f t="shared" si="18"/>
        <v>967.87162500000011</v>
      </c>
      <c r="W19" s="90">
        <v>8.0500000000000007</v>
      </c>
      <c r="X19" s="90"/>
      <c r="AH19" s="89">
        <v>5</v>
      </c>
    </row>
    <row r="20" spans="1:34" s="102" customFormat="1" ht="25.15" customHeight="1" x14ac:dyDescent="0.25">
      <c r="A20" s="280" t="s">
        <v>321</v>
      </c>
      <c r="B20" s="281" t="s">
        <v>265</v>
      </c>
      <c r="C20" s="282" t="s">
        <v>51</v>
      </c>
      <c r="D20" s="282" t="s">
        <v>256</v>
      </c>
      <c r="E20" s="283">
        <v>1</v>
      </c>
      <c r="F20" s="284"/>
      <c r="G20" s="285"/>
      <c r="H20" s="286">
        <v>250</v>
      </c>
      <c r="I20" s="287" t="s">
        <v>20</v>
      </c>
      <c r="J20" s="287">
        <v>200</v>
      </c>
      <c r="K20" s="287" t="s">
        <v>20</v>
      </c>
      <c r="L20" s="288">
        <v>18</v>
      </c>
      <c r="M20" s="278"/>
      <c r="N20" s="279"/>
      <c r="O20" s="99">
        <f t="shared" ref="O20" si="27">H20+5</f>
        <v>255</v>
      </c>
      <c r="P20" s="86">
        <f t="shared" ref="P20" si="28">J20+5</f>
        <v>205</v>
      </c>
      <c r="Q20" s="86">
        <f t="shared" ref="Q20" si="29">L20+5</f>
        <v>23</v>
      </c>
      <c r="R20" s="87">
        <f t="shared" ref="R20" si="30">E20+G20</f>
        <v>1</v>
      </c>
      <c r="S20" s="86">
        <f t="shared" ref="S20" si="31">SUM(O20*P20*Q20)*W20/1000000</f>
        <v>9.6787162500000008</v>
      </c>
      <c r="T20" s="86">
        <f t="shared" si="17"/>
        <v>9.6787162500000008</v>
      </c>
      <c r="U20" s="87">
        <v>100</v>
      </c>
      <c r="V20" s="93">
        <f t="shared" si="18"/>
        <v>967.87162500000011</v>
      </c>
      <c r="W20" s="90">
        <v>8.0500000000000007</v>
      </c>
      <c r="X20" s="90"/>
      <c r="AH20" s="89">
        <v>5</v>
      </c>
    </row>
    <row r="21" spans="1:34" s="102" customFormat="1" ht="25.15" customHeight="1" x14ac:dyDescent="0.25">
      <c r="A21" s="280" t="s">
        <v>322</v>
      </c>
      <c r="B21" s="281" t="s">
        <v>265</v>
      </c>
      <c r="C21" s="282" t="s">
        <v>51</v>
      </c>
      <c r="D21" s="282" t="s">
        <v>256</v>
      </c>
      <c r="E21" s="283">
        <v>1</v>
      </c>
      <c r="F21" s="284"/>
      <c r="G21" s="285"/>
      <c r="H21" s="286">
        <v>250</v>
      </c>
      <c r="I21" s="287" t="s">
        <v>20</v>
      </c>
      <c r="J21" s="287">
        <v>200</v>
      </c>
      <c r="K21" s="287" t="s">
        <v>20</v>
      </c>
      <c r="L21" s="288">
        <v>18</v>
      </c>
      <c r="M21" s="278"/>
      <c r="N21" s="279"/>
      <c r="O21" s="99">
        <f t="shared" ref="O21" si="32">H21+5</f>
        <v>255</v>
      </c>
      <c r="P21" s="86">
        <f t="shared" ref="P21" si="33">J21+5</f>
        <v>205</v>
      </c>
      <c r="Q21" s="86">
        <f t="shared" ref="Q21" si="34">L21+5</f>
        <v>23</v>
      </c>
      <c r="R21" s="87">
        <f t="shared" ref="R21" si="35">E21+G21</f>
        <v>1</v>
      </c>
      <c r="S21" s="86">
        <f t="shared" ref="S21" si="36">SUM(O21*P21*Q21)*W21/1000000</f>
        <v>9.6787162500000008</v>
      </c>
      <c r="T21" s="86">
        <f t="shared" si="17"/>
        <v>9.6787162500000008</v>
      </c>
      <c r="U21" s="87">
        <v>100</v>
      </c>
      <c r="V21" s="93">
        <f t="shared" si="18"/>
        <v>967.87162500000011</v>
      </c>
      <c r="W21" s="90">
        <v>8.0500000000000007</v>
      </c>
      <c r="X21" s="90"/>
      <c r="AH21" s="89">
        <v>5</v>
      </c>
    </row>
    <row r="22" spans="1:34" ht="25.15" customHeight="1" thickBot="1" x14ac:dyDescent="0.3">
      <c r="A22" s="391" t="s">
        <v>323</v>
      </c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3"/>
      <c r="O22" s="351" t="s">
        <v>45</v>
      </c>
      <c r="P22" s="352"/>
      <c r="Q22" s="352"/>
      <c r="R22" s="352"/>
      <c r="S22" s="352"/>
      <c r="T22" s="352"/>
      <c r="U22" s="352"/>
      <c r="V22" s="81">
        <f>SUM(V6:V21)</f>
        <v>542517.72051075008</v>
      </c>
    </row>
    <row r="23" spans="1:34" s="98" customFormat="1" ht="25.15" customHeight="1" thickTop="1" thickBot="1" x14ac:dyDescent="0.45">
      <c r="A23" s="385" t="s">
        <v>58</v>
      </c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7"/>
      <c r="O23" s="66"/>
      <c r="P23" s="66"/>
      <c r="Q23" s="66"/>
      <c r="R23" s="66"/>
      <c r="S23" s="66"/>
      <c r="T23" s="66"/>
      <c r="U23" s="66"/>
      <c r="V23" s="101"/>
      <c r="W23" s="97"/>
    </row>
    <row r="24" spans="1:34" s="247" customFormat="1" ht="25.15" customHeight="1" thickTop="1" x14ac:dyDescent="0.25">
      <c r="A24" s="280" t="s">
        <v>276</v>
      </c>
      <c r="B24" s="289" t="s">
        <v>75</v>
      </c>
      <c r="C24" s="282" t="s">
        <v>21</v>
      </c>
      <c r="D24" s="282" t="s">
        <v>63</v>
      </c>
      <c r="E24" s="290">
        <v>2</v>
      </c>
      <c r="F24" s="291"/>
      <c r="G24" s="292"/>
      <c r="H24" s="286">
        <v>1160</v>
      </c>
      <c r="I24" s="293" t="s">
        <v>20</v>
      </c>
      <c r="J24" s="287">
        <v>115</v>
      </c>
      <c r="K24" s="293" t="s">
        <v>20</v>
      </c>
      <c r="L24" s="288">
        <v>10</v>
      </c>
      <c r="M24" s="287"/>
      <c r="N24" s="294"/>
      <c r="O24" s="295">
        <f t="shared" ref="O24:O30" si="37">H24+5</f>
        <v>1165</v>
      </c>
      <c r="P24" s="296">
        <f t="shared" ref="P24:P30" si="38">J24+5</f>
        <v>120</v>
      </c>
      <c r="Q24" s="296">
        <f t="shared" ref="Q24:Q30" si="39">L24+5</f>
        <v>15</v>
      </c>
      <c r="R24" s="297">
        <f t="shared" ref="R24:R30" si="40">E24+G24</f>
        <v>2</v>
      </c>
      <c r="S24" s="296">
        <f t="shared" ref="S24:S34" si="41">SUM(O24*P24*Q24)*W24/1000000</f>
        <v>6.2910000000000004</v>
      </c>
      <c r="T24" s="296">
        <f t="shared" ref="T24:T30" si="42">SUM(R24*S24)</f>
        <v>12.582000000000001</v>
      </c>
      <c r="U24" s="297">
        <v>752</v>
      </c>
      <c r="V24" s="298">
        <f t="shared" ref="V24:V30" si="43">SUM(T24*U24)</f>
        <v>9461.6640000000007</v>
      </c>
      <c r="W24" s="246">
        <v>3</v>
      </c>
    </row>
    <row r="25" spans="1:34" s="102" customFormat="1" ht="25.15" customHeight="1" x14ac:dyDescent="0.25">
      <c r="A25" s="103">
        <v>2</v>
      </c>
      <c r="B25" s="140" t="s">
        <v>76</v>
      </c>
      <c r="C25" s="70" t="s">
        <v>21</v>
      </c>
      <c r="D25" s="70" t="s">
        <v>63</v>
      </c>
      <c r="E25" s="94">
        <v>1</v>
      </c>
      <c r="F25" s="91"/>
      <c r="G25" s="138"/>
      <c r="H25" s="88">
        <v>1165</v>
      </c>
      <c r="I25" s="100" t="s">
        <v>20</v>
      </c>
      <c r="J25" s="85">
        <v>95</v>
      </c>
      <c r="K25" s="100" t="s">
        <v>20</v>
      </c>
      <c r="L25" s="89">
        <v>30</v>
      </c>
      <c r="M25" s="85"/>
      <c r="N25" s="144"/>
      <c r="O25" s="99">
        <f t="shared" si="37"/>
        <v>1170</v>
      </c>
      <c r="P25" s="86">
        <f t="shared" si="38"/>
        <v>100</v>
      </c>
      <c r="Q25" s="86">
        <f t="shared" si="39"/>
        <v>35</v>
      </c>
      <c r="R25" s="87">
        <f t="shared" si="40"/>
        <v>1</v>
      </c>
      <c r="S25" s="86">
        <f t="shared" si="41"/>
        <v>12.285</v>
      </c>
      <c r="T25" s="86">
        <f t="shared" si="42"/>
        <v>12.285</v>
      </c>
      <c r="U25" s="87">
        <v>752</v>
      </c>
      <c r="V25" s="93">
        <f t="shared" si="43"/>
        <v>9238.32</v>
      </c>
      <c r="W25" s="90">
        <v>3</v>
      </c>
    </row>
    <row r="26" spans="1:34" s="102" customFormat="1" ht="25.15" customHeight="1" x14ac:dyDescent="0.25">
      <c r="A26" s="103">
        <v>3</v>
      </c>
      <c r="B26" s="140" t="s">
        <v>77</v>
      </c>
      <c r="C26" s="70" t="s">
        <v>21</v>
      </c>
      <c r="D26" s="70" t="s">
        <v>63</v>
      </c>
      <c r="E26" s="94">
        <v>1</v>
      </c>
      <c r="F26" s="91"/>
      <c r="G26" s="138"/>
      <c r="H26" s="88">
        <v>1165</v>
      </c>
      <c r="I26" s="100" t="s">
        <v>20</v>
      </c>
      <c r="J26" s="85">
        <v>95</v>
      </c>
      <c r="K26" s="100" t="s">
        <v>20</v>
      </c>
      <c r="L26" s="89">
        <v>28</v>
      </c>
      <c r="M26" s="145"/>
      <c r="N26" s="104"/>
      <c r="O26" s="99">
        <f t="shared" ref="O26" si="44">H26+5</f>
        <v>1170</v>
      </c>
      <c r="P26" s="86">
        <f t="shared" ref="P26" si="45">J26+5</f>
        <v>100</v>
      </c>
      <c r="Q26" s="86">
        <f t="shared" ref="Q26" si="46">L26+5</f>
        <v>33</v>
      </c>
      <c r="R26" s="87">
        <f t="shared" ref="R26" si="47">E26+G26</f>
        <v>1</v>
      </c>
      <c r="S26" s="86">
        <f t="shared" ref="S26" si="48">SUM(O26*P26*Q26)*W26/1000000</f>
        <v>11.583</v>
      </c>
      <c r="T26" s="86">
        <f t="shared" ref="T26" si="49">SUM(R26*S26)</f>
        <v>11.583</v>
      </c>
      <c r="U26" s="87">
        <v>752</v>
      </c>
      <c r="V26" s="93">
        <f t="shared" ref="V26" si="50">SUM(T26*U26)</f>
        <v>8710.4159999999993</v>
      </c>
      <c r="W26" s="90">
        <v>3</v>
      </c>
    </row>
    <row r="27" spans="1:34" s="102" customFormat="1" ht="25.15" customHeight="1" x14ac:dyDescent="0.25">
      <c r="A27" s="103">
        <v>4</v>
      </c>
      <c r="B27" s="140" t="s">
        <v>78</v>
      </c>
      <c r="C27" s="70" t="s">
        <v>21</v>
      </c>
      <c r="D27" s="70" t="s">
        <v>63</v>
      </c>
      <c r="E27" s="94">
        <v>1</v>
      </c>
      <c r="F27" s="91"/>
      <c r="G27" s="138"/>
      <c r="H27" s="88">
        <v>1165</v>
      </c>
      <c r="I27" s="100" t="s">
        <v>20</v>
      </c>
      <c r="J27" s="85">
        <v>95</v>
      </c>
      <c r="K27" s="100" t="s">
        <v>20</v>
      </c>
      <c r="L27" s="89">
        <v>30</v>
      </c>
      <c r="M27" s="85"/>
      <c r="N27" s="104"/>
      <c r="O27" s="99">
        <f t="shared" si="37"/>
        <v>1170</v>
      </c>
      <c r="P27" s="86">
        <f t="shared" si="38"/>
        <v>100</v>
      </c>
      <c r="Q27" s="86">
        <f t="shared" si="39"/>
        <v>35</v>
      </c>
      <c r="R27" s="87">
        <f t="shared" si="40"/>
        <v>1</v>
      </c>
      <c r="S27" s="86">
        <f t="shared" si="41"/>
        <v>12.285</v>
      </c>
      <c r="T27" s="86">
        <f t="shared" si="42"/>
        <v>12.285</v>
      </c>
      <c r="U27" s="87">
        <v>752</v>
      </c>
      <c r="V27" s="93">
        <f t="shared" si="43"/>
        <v>9238.32</v>
      </c>
      <c r="W27" s="90">
        <v>3</v>
      </c>
      <c r="X27" s="90"/>
    </row>
    <row r="28" spans="1:34" s="102" customFormat="1" ht="25.15" customHeight="1" x14ac:dyDescent="0.25">
      <c r="A28" s="103">
        <v>5</v>
      </c>
      <c r="B28" s="140" t="s">
        <v>79</v>
      </c>
      <c r="C28" s="70" t="s">
        <v>21</v>
      </c>
      <c r="D28" s="70" t="s">
        <v>63</v>
      </c>
      <c r="E28" s="94">
        <v>1</v>
      </c>
      <c r="F28" s="91"/>
      <c r="G28" s="138"/>
      <c r="H28" s="88">
        <v>1165</v>
      </c>
      <c r="I28" s="100" t="s">
        <v>20</v>
      </c>
      <c r="J28" s="85">
        <v>95</v>
      </c>
      <c r="K28" s="100" t="s">
        <v>20</v>
      </c>
      <c r="L28" s="89">
        <v>28</v>
      </c>
      <c r="M28" s="145"/>
      <c r="N28" s="104"/>
      <c r="O28" s="99">
        <f t="shared" si="37"/>
        <v>1170</v>
      </c>
      <c r="P28" s="86">
        <f t="shared" si="38"/>
        <v>100</v>
      </c>
      <c r="Q28" s="86">
        <f t="shared" si="39"/>
        <v>33</v>
      </c>
      <c r="R28" s="87">
        <f t="shared" si="40"/>
        <v>1</v>
      </c>
      <c r="S28" s="86">
        <f t="shared" si="41"/>
        <v>11.583</v>
      </c>
      <c r="T28" s="86">
        <f t="shared" si="42"/>
        <v>11.583</v>
      </c>
      <c r="U28" s="87">
        <v>752</v>
      </c>
      <c r="V28" s="93">
        <f t="shared" si="43"/>
        <v>8710.4159999999993</v>
      </c>
      <c r="W28" s="90">
        <v>3</v>
      </c>
    </row>
    <row r="29" spans="1:34" s="102" customFormat="1" ht="25.15" customHeight="1" x14ac:dyDescent="0.25">
      <c r="A29" s="103">
        <v>6</v>
      </c>
      <c r="B29" s="96" t="s">
        <v>95</v>
      </c>
      <c r="C29" s="139" t="s">
        <v>21</v>
      </c>
      <c r="D29" s="139" t="s">
        <v>63</v>
      </c>
      <c r="E29" s="65">
        <v>8</v>
      </c>
      <c r="F29" s="13"/>
      <c r="G29" s="41"/>
      <c r="H29" s="42">
        <v>103</v>
      </c>
      <c r="I29" s="28" t="s">
        <v>20</v>
      </c>
      <c r="J29" s="47">
        <v>78.599999999999994</v>
      </c>
      <c r="K29" s="28" t="s">
        <v>20</v>
      </c>
      <c r="L29" s="44">
        <v>42</v>
      </c>
      <c r="M29" s="47"/>
      <c r="N29" s="148" t="s">
        <v>57</v>
      </c>
      <c r="O29" s="99">
        <f>H29+5</f>
        <v>108</v>
      </c>
      <c r="P29" s="86">
        <f>J29+5</f>
        <v>83.6</v>
      </c>
      <c r="Q29" s="86">
        <f>L29+5</f>
        <v>47</v>
      </c>
      <c r="R29" s="87">
        <f>E29+G29</f>
        <v>8</v>
      </c>
      <c r="S29" s="86">
        <f>SUM(O29*P29*Q29)*W29/1000000</f>
        <v>1.2730607999999999</v>
      </c>
      <c r="T29" s="86">
        <f>SUM(R29*S29)</f>
        <v>10.184486399999999</v>
      </c>
      <c r="U29" s="87">
        <v>752</v>
      </c>
      <c r="V29" s="93">
        <f>SUM(T29*U29)</f>
        <v>7658.7337727999993</v>
      </c>
      <c r="W29" s="90">
        <v>3</v>
      </c>
    </row>
    <row r="30" spans="1:34" s="102" customFormat="1" ht="25.15" customHeight="1" x14ac:dyDescent="0.25">
      <c r="A30" s="103">
        <v>7</v>
      </c>
      <c r="B30" s="140" t="s">
        <v>80</v>
      </c>
      <c r="C30" s="70" t="s">
        <v>21</v>
      </c>
      <c r="D30" s="70" t="s">
        <v>63</v>
      </c>
      <c r="E30" s="94">
        <v>1</v>
      </c>
      <c r="F30" s="91"/>
      <c r="G30" s="138"/>
      <c r="H30" s="88">
        <v>225</v>
      </c>
      <c r="I30" s="100" t="s">
        <v>20</v>
      </c>
      <c r="J30" s="85">
        <v>159</v>
      </c>
      <c r="K30" s="100" t="s">
        <v>20</v>
      </c>
      <c r="L30" s="89">
        <v>40</v>
      </c>
      <c r="M30" s="85"/>
      <c r="N30" s="83"/>
      <c r="O30" s="99">
        <f t="shared" si="37"/>
        <v>230</v>
      </c>
      <c r="P30" s="86">
        <f t="shared" si="38"/>
        <v>164</v>
      </c>
      <c r="Q30" s="86">
        <f t="shared" si="39"/>
        <v>45</v>
      </c>
      <c r="R30" s="87">
        <f t="shared" si="40"/>
        <v>1</v>
      </c>
      <c r="S30" s="86">
        <f t="shared" si="41"/>
        <v>5.0922000000000001</v>
      </c>
      <c r="T30" s="86">
        <f t="shared" si="42"/>
        <v>5.0922000000000001</v>
      </c>
      <c r="U30" s="87">
        <v>752</v>
      </c>
      <c r="V30" s="93">
        <f t="shared" si="43"/>
        <v>3829.3344000000002</v>
      </c>
      <c r="W30" s="90">
        <v>3</v>
      </c>
    </row>
    <row r="31" spans="1:34" s="102" customFormat="1" ht="25.15" customHeight="1" x14ac:dyDescent="0.25">
      <c r="A31" s="103">
        <v>8</v>
      </c>
      <c r="B31" s="140" t="s">
        <v>81</v>
      </c>
      <c r="C31" s="70" t="s">
        <v>21</v>
      </c>
      <c r="D31" s="70" t="s">
        <v>63</v>
      </c>
      <c r="E31" s="94">
        <v>1</v>
      </c>
      <c r="F31" s="91"/>
      <c r="G31" s="138"/>
      <c r="H31" s="88">
        <v>255</v>
      </c>
      <c r="I31" s="100" t="s">
        <v>20</v>
      </c>
      <c r="J31" s="85">
        <v>159</v>
      </c>
      <c r="K31" s="100" t="s">
        <v>20</v>
      </c>
      <c r="L31" s="89">
        <v>40</v>
      </c>
      <c r="M31" s="85"/>
      <c r="N31" s="83"/>
      <c r="O31" s="99">
        <f t="shared" ref="O31:O36" si="51">H31+5</f>
        <v>260</v>
      </c>
      <c r="P31" s="86">
        <f t="shared" ref="P31:P36" si="52">J31+5</f>
        <v>164</v>
      </c>
      <c r="Q31" s="86">
        <f t="shared" ref="Q31:Q34" si="53">L31+5</f>
        <v>45</v>
      </c>
      <c r="R31" s="87">
        <f t="shared" ref="R31:R36" si="54">E31+G31</f>
        <v>1</v>
      </c>
      <c r="S31" s="86">
        <f t="shared" si="41"/>
        <v>5.7564000000000002</v>
      </c>
      <c r="T31" s="86">
        <f t="shared" ref="T31:T36" si="55">SUM(R31*S31)</f>
        <v>5.7564000000000002</v>
      </c>
      <c r="U31" s="87">
        <v>752</v>
      </c>
      <c r="V31" s="93">
        <f t="shared" ref="V31:V36" si="56">SUM(T31*U31)</f>
        <v>4328.8127999999997</v>
      </c>
      <c r="W31" s="90">
        <v>3</v>
      </c>
    </row>
    <row r="32" spans="1:34" s="102" customFormat="1" ht="25.15" customHeight="1" x14ac:dyDescent="0.25">
      <c r="A32" s="103">
        <v>9</v>
      </c>
      <c r="B32" s="140" t="s">
        <v>82</v>
      </c>
      <c r="C32" s="70" t="s">
        <v>21</v>
      </c>
      <c r="D32" s="70" t="s">
        <v>63</v>
      </c>
      <c r="E32" s="94">
        <v>1</v>
      </c>
      <c r="F32" s="91"/>
      <c r="G32" s="138"/>
      <c r="H32" s="88">
        <v>1150</v>
      </c>
      <c r="I32" s="100" t="s">
        <v>20</v>
      </c>
      <c r="J32" s="85">
        <v>107.8</v>
      </c>
      <c r="K32" s="100" t="s">
        <v>20</v>
      </c>
      <c r="L32" s="89">
        <v>30</v>
      </c>
      <c r="M32" s="85"/>
      <c r="N32" s="144"/>
      <c r="O32" s="99">
        <f t="shared" si="51"/>
        <v>1155</v>
      </c>
      <c r="P32" s="86">
        <f t="shared" si="52"/>
        <v>112.8</v>
      </c>
      <c r="Q32" s="86">
        <f t="shared" si="53"/>
        <v>35</v>
      </c>
      <c r="R32" s="87">
        <f t="shared" si="54"/>
        <v>1</v>
      </c>
      <c r="S32" s="86">
        <f t="shared" si="41"/>
        <v>13.679819999999999</v>
      </c>
      <c r="T32" s="86">
        <f t="shared" si="55"/>
        <v>13.679819999999999</v>
      </c>
      <c r="U32" s="87">
        <v>752</v>
      </c>
      <c r="V32" s="93">
        <f t="shared" si="56"/>
        <v>10287.22464</v>
      </c>
      <c r="W32" s="90">
        <v>3</v>
      </c>
    </row>
    <row r="33" spans="1:32" s="102" customFormat="1" ht="25.15" customHeight="1" x14ac:dyDescent="0.25">
      <c r="A33" s="103">
        <v>10</v>
      </c>
      <c r="B33" s="140" t="s">
        <v>83</v>
      </c>
      <c r="C33" s="70" t="s">
        <v>21</v>
      </c>
      <c r="D33" s="70" t="s">
        <v>63</v>
      </c>
      <c r="E33" s="141">
        <v>1</v>
      </c>
      <c r="F33" s="142"/>
      <c r="G33" s="143"/>
      <c r="H33" s="88">
        <v>578</v>
      </c>
      <c r="I33" s="100" t="s">
        <v>20</v>
      </c>
      <c r="J33" s="85">
        <v>80</v>
      </c>
      <c r="K33" s="100" t="s">
        <v>20</v>
      </c>
      <c r="L33" s="89">
        <v>50</v>
      </c>
      <c r="M33" s="85"/>
      <c r="N33" s="83"/>
      <c r="O33" s="99">
        <f t="shared" si="51"/>
        <v>583</v>
      </c>
      <c r="P33" s="86">
        <f t="shared" si="52"/>
        <v>85</v>
      </c>
      <c r="Q33" s="86">
        <f t="shared" si="53"/>
        <v>55</v>
      </c>
      <c r="R33" s="87">
        <f t="shared" si="54"/>
        <v>1</v>
      </c>
      <c r="S33" s="86">
        <f t="shared" si="41"/>
        <v>8.1765749999999997</v>
      </c>
      <c r="T33" s="86">
        <f t="shared" si="55"/>
        <v>8.1765749999999997</v>
      </c>
      <c r="U33" s="87">
        <v>752</v>
      </c>
      <c r="V33" s="93">
        <f t="shared" si="56"/>
        <v>6148.7843999999996</v>
      </c>
      <c r="W33" s="90">
        <v>3</v>
      </c>
    </row>
    <row r="34" spans="1:32" s="102" customFormat="1" ht="25.15" customHeight="1" x14ac:dyDescent="0.25">
      <c r="A34" s="103">
        <v>11</v>
      </c>
      <c r="B34" s="140" t="s">
        <v>84</v>
      </c>
      <c r="C34" s="70" t="s">
        <v>21</v>
      </c>
      <c r="D34" s="70" t="s">
        <v>63</v>
      </c>
      <c r="E34" s="94">
        <v>1</v>
      </c>
      <c r="F34" s="91"/>
      <c r="G34" s="138"/>
      <c r="H34" s="88">
        <v>578</v>
      </c>
      <c r="I34" s="100" t="s">
        <v>20</v>
      </c>
      <c r="J34" s="85">
        <v>80</v>
      </c>
      <c r="K34" s="100" t="s">
        <v>20</v>
      </c>
      <c r="L34" s="89">
        <v>50</v>
      </c>
      <c r="M34" s="85"/>
      <c r="N34" s="104"/>
      <c r="O34" s="99">
        <f t="shared" si="51"/>
        <v>583</v>
      </c>
      <c r="P34" s="86">
        <f t="shared" si="52"/>
        <v>85</v>
      </c>
      <c r="Q34" s="86">
        <f t="shared" si="53"/>
        <v>55</v>
      </c>
      <c r="R34" s="87">
        <f t="shared" si="54"/>
        <v>1</v>
      </c>
      <c r="S34" s="86">
        <f t="shared" si="41"/>
        <v>8.1765749999999997</v>
      </c>
      <c r="T34" s="86">
        <f t="shared" si="55"/>
        <v>8.1765749999999997</v>
      </c>
      <c r="U34" s="87">
        <v>752</v>
      </c>
      <c r="V34" s="93">
        <f t="shared" si="56"/>
        <v>6148.7843999999996</v>
      </c>
      <c r="W34" s="90">
        <v>3</v>
      </c>
      <c r="X34" s="90"/>
    </row>
    <row r="35" spans="1:32" s="102" customFormat="1" ht="25.15" customHeight="1" x14ac:dyDescent="0.25">
      <c r="A35" s="103">
        <v>12</v>
      </c>
      <c r="B35" s="140" t="s">
        <v>85</v>
      </c>
      <c r="C35" s="70" t="s">
        <v>51</v>
      </c>
      <c r="D35" s="70" t="s">
        <v>22</v>
      </c>
      <c r="E35" s="94">
        <v>10</v>
      </c>
      <c r="F35" s="91"/>
      <c r="G35" s="138"/>
      <c r="H35" s="95"/>
      <c r="I35" s="146" t="s">
        <v>86</v>
      </c>
      <c r="J35" s="85">
        <v>22</v>
      </c>
      <c r="K35" s="85" t="s">
        <v>20</v>
      </c>
      <c r="L35" s="89">
        <v>163</v>
      </c>
      <c r="M35" s="145"/>
      <c r="N35" s="104"/>
      <c r="O35" s="99">
        <f>J35+5</f>
        <v>27</v>
      </c>
      <c r="P35" s="86">
        <f>L35+5</f>
        <v>168</v>
      </c>
      <c r="Q35" s="86"/>
      <c r="R35" s="87">
        <f>E35+G35</f>
        <v>10</v>
      </c>
      <c r="S35" s="92">
        <f>SUM(3.14*(O35*O35)/4*P35*W35/1000000)</f>
        <v>0.7739311860000001</v>
      </c>
      <c r="T35" s="86">
        <f>SUM(R35*S35)</f>
        <v>7.7393118600000008</v>
      </c>
      <c r="U35" s="87">
        <v>480</v>
      </c>
      <c r="V35" s="93">
        <f>SUM(T35*U35)</f>
        <v>3714.8696928000004</v>
      </c>
      <c r="W35" s="90">
        <v>8.0500000000000007</v>
      </c>
    </row>
    <row r="36" spans="1:32" s="102" customFormat="1" ht="25.15" customHeight="1" x14ac:dyDescent="0.25">
      <c r="A36" s="103">
        <v>13</v>
      </c>
      <c r="B36" s="105" t="s">
        <v>93</v>
      </c>
      <c r="C36" s="70" t="s">
        <v>21</v>
      </c>
      <c r="D36" s="70" t="s">
        <v>63</v>
      </c>
      <c r="E36" s="94">
        <v>1</v>
      </c>
      <c r="F36" s="91"/>
      <c r="G36" s="138"/>
      <c r="H36" s="88">
        <v>183</v>
      </c>
      <c r="I36" s="100" t="s">
        <v>20</v>
      </c>
      <c r="J36" s="85">
        <v>86.212400000000002</v>
      </c>
      <c r="K36" s="100" t="s">
        <v>20</v>
      </c>
      <c r="L36" s="89">
        <v>2</v>
      </c>
      <c r="M36" s="85"/>
      <c r="N36" s="83" t="s">
        <v>87</v>
      </c>
      <c r="O36" s="99">
        <f t="shared" si="51"/>
        <v>188</v>
      </c>
      <c r="P36" s="86">
        <f t="shared" si="52"/>
        <v>91.212400000000002</v>
      </c>
      <c r="Q36" s="86">
        <f>L36</f>
        <v>2</v>
      </c>
      <c r="R36" s="87">
        <f t="shared" si="54"/>
        <v>1</v>
      </c>
      <c r="S36" s="86">
        <f>SUM(O36*P36*Q36)*W36/1000000</f>
        <v>0.10288758719999999</v>
      </c>
      <c r="T36" s="86">
        <f t="shared" si="55"/>
        <v>0.10288758719999999</v>
      </c>
      <c r="U36" s="87">
        <v>550</v>
      </c>
      <c r="V36" s="93">
        <f t="shared" si="56"/>
        <v>56.588172959999994</v>
      </c>
      <c r="W36" s="90">
        <v>3</v>
      </c>
    </row>
    <row r="37" spans="1:32" s="102" customFormat="1" ht="25.15" customHeight="1" x14ac:dyDescent="0.25">
      <c r="A37" s="103">
        <v>14</v>
      </c>
      <c r="B37" s="105" t="s">
        <v>97</v>
      </c>
      <c r="C37" s="70" t="s">
        <v>21</v>
      </c>
      <c r="D37" s="70" t="s">
        <v>63</v>
      </c>
      <c r="E37" s="94">
        <v>1</v>
      </c>
      <c r="F37" s="91"/>
      <c r="G37" s="138"/>
      <c r="H37" s="88">
        <v>390</v>
      </c>
      <c r="I37" s="100" t="s">
        <v>20</v>
      </c>
      <c r="J37" s="85">
        <v>127.5</v>
      </c>
      <c r="K37" s="100" t="s">
        <v>20</v>
      </c>
      <c r="L37" s="89">
        <v>5</v>
      </c>
      <c r="M37" s="85"/>
      <c r="N37" s="83" t="s">
        <v>89</v>
      </c>
      <c r="O37" s="99">
        <f t="shared" ref="O37" si="57">H37+5</f>
        <v>395</v>
      </c>
      <c r="P37" s="86">
        <f t="shared" ref="P37" si="58">J37+5</f>
        <v>132.5</v>
      </c>
      <c r="Q37" s="86">
        <f>L37</f>
        <v>5</v>
      </c>
      <c r="R37" s="87">
        <f t="shared" ref="R37" si="59">E37+G37</f>
        <v>1</v>
      </c>
      <c r="S37" s="86">
        <f>SUM(O37*P37*Q37)*W37/1000000</f>
        <v>0.7850625</v>
      </c>
      <c r="T37" s="86">
        <f t="shared" ref="T37" si="60">SUM(R37*S37)</f>
        <v>0.7850625</v>
      </c>
      <c r="U37" s="87">
        <v>550</v>
      </c>
      <c r="V37" s="93">
        <f t="shared" ref="V37" si="61">SUM(T37*U37)</f>
        <v>431.78437500000001</v>
      </c>
      <c r="W37" s="90">
        <v>3</v>
      </c>
    </row>
    <row r="38" spans="1:32" s="102" customFormat="1" ht="25.15" customHeight="1" x14ac:dyDescent="0.25">
      <c r="A38" s="103"/>
      <c r="B38" s="105"/>
      <c r="C38" s="70"/>
      <c r="D38" s="70"/>
      <c r="E38" s="94"/>
      <c r="F38" s="91"/>
      <c r="G38" s="138"/>
      <c r="H38" s="88"/>
      <c r="I38" s="100"/>
      <c r="J38" s="85"/>
      <c r="K38" s="100"/>
      <c r="L38" s="89"/>
      <c r="M38" s="85"/>
      <c r="N38" s="83"/>
      <c r="O38" s="99"/>
      <c r="P38" s="86"/>
      <c r="Q38" s="86"/>
      <c r="R38" s="87"/>
      <c r="S38" s="86"/>
      <c r="T38" s="86"/>
      <c r="U38" s="87"/>
      <c r="V38" s="93"/>
      <c r="W38" s="90">
        <v>3</v>
      </c>
    </row>
    <row r="39" spans="1:32" s="102" customFormat="1" ht="24.6" customHeight="1" thickBot="1" x14ac:dyDescent="0.3">
      <c r="A39" s="388" t="s">
        <v>277</v>
      </c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90"/>
      <c r="O39" s="353" t="s">
        <v>48</v>
      </c>
      <c r="P39" s="354"/>
      <c r="Q39" s="354"/>
      <c r="R39" s="354"/>
      <c r="S39" s="354"/>
      <c r="T39" s="354"/>
      <c r="U39" s="355"/>
      <c r="V39" s="93">
        <f>SUM(V24:V38)</f>
        <v>87964.052653559993</v>
      </c>
      <c r="W39" s="90"/>
    </row>
    <row r="40" spans="1:32" ht="25.15" customHeight="1" thickTop="1" thickBot="1" x14ac:dyDescent="0.3">
      <c r="A40" s="377" t="s">
        <v>99</v>
      </c>
      <c r="B40" s="378"/>
      <c r="C40" s="61" t="s">
        <v>100</v>
      </c>
      <c r="D40" s="61"/>
      <c r="E40" s="62"/>
      <c r="F40" s="62"/>
      <c r="G40" s="62"/>
      <c r="H40" s="63"/>
      <c r="I40" s="64"/>
      <c r="J40" s="62"/>
      <c r="K40" s="64"/>
      <c r="L40" s="64"/>
      <c r="M40" s="64"/>
      <c r="N40" s="72" t="s">
        <v>101</v>
      </c>
      <c r="O40" s="357" t="s">
        <v>66</v>
      </c>
      <c r="P40" s="358"/>
      <c r="Q40" s="358"/>
      <c r="R40" s="358"/>
      <c r="S40" s="358"/>
      <c r="T40" s="358"/>
      <c r="U40" s="359"/>
      <c r="V40" s="46">
        <f>V39+V22</f>
        <v>630481.77316431003</v>
      </c>
    </row>
    <row r="41" spans="1:32" ht="25.15" customHeight="1" thickTop="1" x14ac:dyDescent="0.25">
      <c r="B41" s="19"/>
      <c r="F41" s="14"/>
      <c r="H41" s="57"/>
      <c r="I41" s="74"/>
      <c r="J41" s="57"/>
      <c r="K41" s="74"/>
      <c r="L41" s="57"/>
      <c r="M41" s="57"/>
      <c r="O41" s="57"/>
      <c r="P41" s="57"/>
      <c r="Q41" s="57"/>
      <c r="S41" s="57"/>
      <c r="T41" s="57"/>
      <c r="V41" s="58"/>
      <c r="AB41" s="45"/>
      <c r="AC41" s="45"/>
      <c r="AD41" s="45"/>
      <c r="AF41" s="45"/>
    </row>
    <row r="42" spans="1:32" ht="25.15" customHeight="1" x14ac:dyDescent="0.25">
      <c r="B42" s="19"/>
      <c r="D42" s="82"/>
      <c r="F42" s="14"/>
      <c r="H42" s="57"/>
      <c r="I42" s="74"/>
      <c r="J42" s="57"/>
      <c r="K42" s="74"/>
      <c r="L42" s="57"/>
      <c r="M42" s="57"/>
      <c r="O42" s="57"/>
      <c r="P42" s="57"/>
      <c r="Q42" s="57"/>
      <c r="S42" s="57"/>
      <c r="T42" s="57"/>
      <c r="V42" s="58"/>
      <c r="AB42" s="45"/>
      <c r="AC42" s="45"/>
      <c r="AD42" s="45"/>
      <c r="AF42" s="45"/>
    </row>
    <row r="43" spans="1:32" ht="25.15" customHeight="1" x14ac:dyDescent="0.25">
      <c r="B43" s="19"/>
      <c r="F43" s="14"/>
      <c r="H43" s="57"/>
      <c r="I43" s="74"/>
      <c r="J43" s="57"/>
      <c r="K43" s="74"/>
      <c r="L43" s="57"/>
      <c r="M43" s="57"/>
      <c r="O43" s="57"/>
      <c r="P43" s="57"/>
      <c r="Q43" s="57"/>
      <c r="S43" s="57"/>
      <c r="T43" s="57"/>
      <c r="V43" s="58"/>
      <c r="AB43" s="45"/>
      <c r="AC43" s="45"/>
      <c r="AD43" s="45"/>
      <c r="AF43" s="45"/>
    </row>
    <row r="44" spans="1:32" ht="25.15" customHeight="1" x14ac:dyDescent="0.25">
      <c r="B44" s="19"/>
      <c r="F44" s="14"/>
      <c r="H44" s="57"/>
      <c r="I44" s="74"/>
      <c r="J44" s="57"/>
      <c r="K44" s="74"/>
      <c r="L44" s="57"/>
      <c r="M44" s="57"/>
      <c r="O44" s="57"/>
      <c r="P44" s="57"/>
      <c r="Q44" s="57"/>
      <c r="S44" s="57"/>
      <c r="T44" s="57"/>
      <c r="V44" s="58"/>
      <c r="AB44" s="45"/>
      <c r="AC44" s="45"/>
      <c r="AD44" s="45"/>
      <c r="AF44" s="45"/>
    </row>
    <row r="45" spans="1:32" ht="25.15" customHeight="1" x14ac:dyDescent="0.25">
      <c r="B45" s="19"/>
      <c r="F45" s="14"/>
      <c r="H45" s="57"/>
      <c r="I45" s="74"/>
      <c r="J45" s="57"/>
      <c r="K45" s="74"/>
      <c r="L45" s="57"/>
      <c r="M45" s="57"/>
      <c r="O45" s="57"/>
      <c r="P45" s="57"/>
      <c r="Q45" s="57"/>
      <c r="S45" s="57"/>
      <c r="T45" s="57"/>
      <c r="V45" s="58"/>
      <c r="AB45" s="45"/>
      <c r="AC45" s="45"/>
      <c r="AD45" s="45"/>
      <c r="AF45" s="45"/>
    </row>
    <row r="46" spans="1:32" ht="25.15" customHeight="1" x14ac:dyDescent="0.25">
      <c r="B46" s="19"/>
      <c r="F46" s="14"/>
      <c r="H46" s="57"/>
      <c r="I46" s="74"/>
      <c r="J46" s="57"/>
      <c r="K46" s="74"/>
      <c r="L46" s="57"/>
      <c r="M46" s="57"/>
      <c r="O46" s="57"/>
      <c r="P46" s="57"/>
      <c r="Q46" s="57"/>
      <c r="S46" s="57"/>
      <c r="T46" s="57"/>
      <c r="V46" s="58"/>
      <c r="AB46" s="45"/>
      <c r="AC46" s="45"/>
      <c r="AD46" s="45"/>
      <c r="AF46" s="45"/>
    </row>
    <row r="47" spans="1:32" ht="25.15" customHeight="1" x14ac:dyDescent="0.25">
      <c r="B47" s="19"/>
      <c r="F47" s="14"/>
      <c r="H47" s="57"/>
      <c r="I47" s="74"/>
      <c r="J47" s="57"/>
      <c r="K47" s="74"/>
      <c r="L47" s="57"/>
      <c r="M47" s="57"/>
      <c r="O47" s="57"/>
      <c r="P47" s="57"/>
      <c r="Q47" s="57"/>
      <c r="S47" s="57"/>
      <c r="T47" s="57"/>
      <c r="V47" s="58"/>
      <c r="AB47" s="45"/>
      <c r="AC47" s="45"/>
      <c r="AD47" s="45"/>
      <c r="AF47" s="45"/>
    </row>
    <row r="48" spans="1:32" ht="25.15" customHeight="1" x14ac:dyDescent="0.25">
      <c r="B48" s="19"/>
      <c r="F48" s="14"/>
      <c r="H48" s="57"/>
      <c r="I48" s="74"/>
      <c r="J48" s="57"/>
      <c r="K48" s="74"/>
      <c r="L48" s="57"/>
      <c r="M48" s="57"/>
      <c r="O48" s="57"/>
      <c r="P48" s="57"/>
      <c r="Q48" s="57"/>
      <c r="S48" s="57"/>
      <c r="T48" s="57"/>
      <c r="V48" s="58"/>
      <c r="AB48" s="45"/>
      <c r="AC48" s="45"/>
      <c r="AD48" s="45"/>
      <c r="AF48" s="45"/>
    </row>
    <row r="49" spans="1:32" ht="25.15" customHeight="1" x14ac:dyDescent="0.25">
      <c r="B49" s="19"/>
      <c r="F49" s="14"/>
      <c r="H49" s="57"/>
      <c r="I49" s="74"/>
      <c r="J49" s="57"/>
      <c r="K49" s="74"/>
      <c r="L49" s="57"/>
      <c r="M49" s="57"/>
      <c r="O49" s="57"/>
      <c r="P49" s="57"/>
      <c r="Q49" s="57"/>
      <c r="S49" s="57"/>
      <c r="T49" s="57"/>
      <c r="V49" s="58"/>
      <c r="AB49" s="45"/>
      <c r="AC49" s="45"/>
      <c r="AD49" s="45"/>
      <c r="AF49" s="45"/>
    </row>
    <row r="50" spans="1:32" ht="25.15" customHeight="1" x14ac:dyDescent="0.25">
      <c r="B50" s="19"/>
      <c r="F50" s="14"/>
      <c r="H50" s="57"/>
      <c r="I50" s="74"/>
      <c r="J50" s="57"/>
      <c r="K50" s="74"/>
      <c r="L50" s="57"/>
      <c r="M50" s="57"/>
      <c r="O50" s="57"/>
      <c r="P50" s="57"/>
      <c r="Q50" s="57"/>
      <c r="S50" s="57"/>
      <c r="T50" s="57"/>
      <c r="V50" s="58"/>
      <c r="AB50" s="45"/>
      <c r="AC50" s="45"/>
      <c r="AD50" s="45"/>
      <c r="AF50" s="45"/>
    </row>
    <row r="51" spans="1:32" ht="25.15" customHeight="1" x14ac:dyDescent="0.25">
      <c r="B51" s="19"/>
      <c r="F51" s="14"/>
      <c r="H51" s="57"/>
      <c r="I51" s="74"/>
      <c r="J51" s="57"/>
      <c r="K51" s="74"/>
      <c r="L51" s="57"/>
      <c r="M51" s="57"/>
      <c r="O51" s="57"/>
      <c r="P51" s="57"/>
      <c r="Q51" s="57"/>
      <c r="S51" s="57"/>
      <c r="T51" s="57"/>
      <c r="V51" s="58"/>
      <c r="AB51" s="45"/>
      <c r="AC51" s="45"/>
      <c r="AD51" s="45"/>
      <c r="AF51" s="45"/>
    </row>
    <row r="52" spans="1:32" ht="25.15" customHeight="1" x14ac:dyDescent="0.25">
      <c r="B52" s="19"/>
      <c r="F52" s="14"/>
      <c r="H52" s="57"/>
      <c r="I52" s="74"/>
      <c r="J52" s="57"/>
      <c r="K52" s="74"/>
      <c r="L52" s="57"/>
      <c r="M52" s="57"/>
      <c r="O52" s="57"/>
      <c r="P52" s="57"/>
      <c r="Q52" s="57"/>
      <c r="S52" s="57"/>
      <c r="T52" s="57"/>
      <c r="V52" s="58"/>
      <c r="AB52" s="45"/>
      <c r="AC52" s="45"/>
      <c r="AD52" s="45"/>
      <c r="AF52" s="45"/>
    </row>
    <row r="53" spans="1:32" ht="25.15" customHeight="1" x14ac:dyDescent="0.25">
      <c r="B53" s="19"/>
      <c r="F53" s="14"/>
      <c r="H53" s="57"/>
      <c r="I53" s="74"/>
      <c r="J53" s="57"/>
      <c r="K53" s="74"/>
      <c r="L53" s="57"/>
      <c r="M53" s="57"/>
      <c r="O53" s="57"/>
      <c r="P53" s="57"/>
      <c r="Q53" s="57"/>
      <c r="S53" s="57"/>
      <c r="T53" s="57"/>
      <c r="V53" s="58"/>
      <c r="AB53" s="45"/>
      <c r="AC53" s="45"/>
      <c r="AD53" s="45"/>
      <c r="AF53" s="45"/>
    </row>
    <row r="54" spans="1:32" ht="25.15" customHeight="1" x14ac:dyDescent="0.25">
      <c r="B54" s="19"/>
      <c r="F54" s="14"/>
      <c r="H54" s="57"/>
      <c r="I54" s="74"/>
      <c r="J54" s="57"/>
      <c r="K54" s="74"/>
      <c r="L54" s="57"/>
      <c r="M54" s="57"/>
      <c r="O54" s="57"/>
      <c r="P54" s="57"/>
      <c r="Q54" s="57"/>
      <c r="S54" s="57"/>
      <c r="T54" s="57"/>
      <c r="V54" s="58"/>
      <c r="AB54" s="45"/>
      <c r="AC54" s="45"/>
      <c r="AD54" s="45"/>
      <c r="AF54" s="45"/>
    </row>
    <row r="55" spans="1:32" ht="25.15" customHeight="1" x14ac:dyDescent="0.25">
      <c r="B55" s="19"/>
      <c r="F55" s="14"/>
      <c r="H55" s="57"/>
      <c r="I55" s="74"/>
      <c r="J55" s="57"/>
      <c r="K55" s="74"/>
      <c r="L55" s="57"/>
      <c r="M55" s="57"/>
      <c r="O55" s="57"/>
      <c r="P55" s="57"/>
      <c r="Q55" s="57"/>
      <c r="S55" s="57"/>
      <c r="T55" s="57"/>
      <c r="V55" s="58"/>
      <c r="AB55" s="45"/>
      <c r="AC55" s="45"/>
      <c r="AD55" s="45"/>
      <c r="AF55" s="45"/>
    </row>
    <row r="56" spans="1:32" ht="25.15" customHeight="1" x14ac:dyDescent="0.25">
      <c r="B56" s="19"/>
      <c r="F56" s="14"/>
      <c r="H56" s="57"/>
      <c r="I56" s="74"/>
      <c r="J56" s="57"/>
      <c r="K56" s="74"/>
      <c r="L56" s="57"/>
      <c r="M56" s="57"/>
      <c r="O56" s="57"/>
      <c r="P56" s="57"/>
      <c r="Q56" s="57"/>
      <c r="S56" s="57"/>
      <c r="T56" s="57"/>
      <c r="V56" s="58"/>
      <c r="AB56" s="45"/>
      <c r="AC56" s="45"/>
      <c r="AD56" s="45"/>
      <c r="AF56" s="45"/>
    </row>
    <row r="57" spans="1:32" ht="25.15" customHeight="1" x14ac:dyDescent="0.25">
      <c r="B57" s="19"/>
      <c r="F57" s="14"/>
      <c r="H57" s="57"/>
      <c r="I57" s="74"/>
      <c r="J57" s="57"/>
      <c r="K57" s="74"/>
      <c r="L57" s="57"/>
      <c r="M57" s="57"/>
      <c r="O57" s="57"/>
      <c r="P57" s="57"/>
      <c r="Q57" s="57"/>
      <c r="S57" s="57"/>
      <c r="T57" s="57"/>
      <c r="V57" s="58"/>
      <c r="AB57" s="45"/>
      <c r="AC57" s="45"/>
      <c r="AD57" s="45"/>
      <c r="AF57" s="45"/>
    </row>
    <row r="58" spans="1:32" ht="25.15" customHeight="1" x14ac:dyDescent="0.25">
      <c r="B58" s="19"/>
      <c r="F58" s="14"/>
      <c r="H58" s="57"/>
      <c r="I58" s="74"/>
      <c r="J58" s="57"/>
      <c r="K58" s="74"/>
      <c r="L58" s="57"/>
      <c r="M58" s="57"/>
      <c r="O58" s="57"/>
      <c r="P58" s="57"/>
      <c r="Q58" s="57"/>
      <c r="S58" s="57"/>
      <c r="T58" s="57"/>
      <c r="V58" s="58"/>
      <c r="AB58" s="45"/>
      <c r="AC58" s="45"/>
      <c r="AD58" s="45"/>
      <c r="AF58" s="45"/>
    </row>
    <row r="59" spans="1:32" ht="25.15" customHeight="1" x14ac:dyDescent="0.25">
      <c r="B59" s="19"/>
      <c r="F59" s="14"/>
      <c r="H59" s="57"/>
      <c r="I59" s="74"/>
      <c r="J59" s="57"/>
      <c r="K59" s="74"/>
      <c r="L59" s="57"/>
      <c r="M59" s="57"/>
      <c r="O59" s="57"/>
      <c r="P59" s="57"/>
      <c r="Q59" s="57"/>
      <c r="S59" s="57"/>
      <c r="T59" s="57"/>
      <c r="V59" s="58"/>
      <c r="AB59" s="45"/>
      <c r="AC59" s="45"/>
      <c r="AD59" s="45"/>
      <c r="AF59" s="45"/>
    </row>
    <row r="60" spans="1:32" ht="25.15" customHeight="1" x14ac:dyDescent="0.25">
      <c r="B60" s="19"/>
      <c r="F60" s="14"/>
      <c r="H60" s="57"/>
      <c r="I60" s="74"/>
      <c r="J60" s="57"/>
      <c r="K60" s="74"/>
      <c r="L60" s="57"/>
      <c r="M60" s="57"/>
      <c r="O60" s="57"/>
      <c r="P60" s="57"/>
      <c r="Q60" s="57"/>
      <c r="S60" s="57"/>
      <c r="T60" s="57"/>
      <c r="V60" s="58"/>
      <c r="AB60" s="45"/>
      <c r="AC60" s="45"/>
      <c r="AD60" s="45"/>
      <c r="AF60" s="45"/>
    </row>
    <row r="61" spans="1:32" ht="25.15" customHeight="1" x14ac:dyDescent="0.25">
      <c r="B61" s="19"/>
      <c r="F61" s="14"/>
      <c r="H61" s="57"/>
      <c r="I61" s="74"/>
      <c r="J61" s="57"/>
      <c r="K61" s="74"/>
      <c r="L61" s="57"/>
      <c r="M61" s="57"/>
      <c r="O61" s="57"/>
      <c r="P61" s="57"/>
      <c r="Q61" s="57"/>
      <c r="S61" s="57"/>
      <c r="T61" s="57"/>
      <c r="V61" s="58"/>
      <c r="AB61" s="45"/>
      <c r="AC61" s="45"/>
      <c r="AD61" s="45"/>
      <c r="AF61" s="45"/>
    </row>
    <row r="62" spans="1:32" s="122" customFormat="1" ht="25.15" customHeight="1" x14ac:dyDescent="0.25">
      <c r="A62" s="106">
        <v>14</v>
      </c>
      <c r="B62" s="107" t="s">
        <v>88</v>
      </c>
      <c r="C62" s="108" t="s">
        <v>21</v>
      </c>
      <c r="D62" s="108" t="s">
        <v>63</v>
      </c>
      <c r="E62" s="109">
        <v>1</v>
      </c>
      <c r="F62" s="110"/>
      <c r="G62" s="111"/>
      <c r="H62" s="112">
        <v>390</v>
      </c>
      <c r="I62" s="113" t="s">
        <v>20</v>
      </c>
      <c r="J62" s="114">
        <v>127.5</v>
      </c>
      <c r="K62" s="113" t="s">
        <v>20</v>
      </c>
      <c r="L62" s="115">
        <v>5</v>
      </c>
      <c r="M62" s="114"/>
      <c r="N62" s="116" t="s">
        <v>89</v>
      </c>
      <c r="O62" s="117">
        <f t="shared" ref="O62" si="62">H62+5</f>
        <v>395</v>
      </c>
      <c r="P62" s="118">
        <f>J62+5</f>
        <v>132.5</v>
      </c>
      <c r="Q62" s="118">
        <f>L62+5</f>
        <v>10</v>
      </c>
      <c r="R62" s="119">
        <f>E62+G62</f>
        <v>1</v>
      </c>
      <c r="S62" s="118">
        <f>SUM(O62*P62*Q62)*W62/1000000</f>
        <v>1.570125</v>
      </c>
      <c r="T62" s="118">
        <f t="shared" ref="T62" si="63">SUM(R62*S62)</f>
        <v>1.570125</v>
      </c>
      <c r="U62" s="119">
        <v>550</v>
      </c>
      <c r="V62" s="120">
        <f t="shared" ref="V62" si="64">SUM(T62*U62)</f>
        <v>863.56875000000002</v>
      </c>
      <c r="W62" s="121">
        <v>3</v>
      </c>
    </row>
    <row r="63" spans="1:32" s="122" customFormat="1" ht="25.15" customHeight="1" x14ac:dyDescent="0.25">
      <c r="A63" s="121"/>
      <c r="B63" s="123"/>
      <c r="C63" s="124"/>
      <c r="D63" s="124"/>
      <c r="E63" s="121"/>
      <c r="F63" s="125"/>
      <c r="G63" s="121"/>
      <c r="H63" s="126"/>
      <c r="I63" s="127"/>
      <c r="J63" s="126"/>
      <c r="K63" s="127"/>
      <c r="L63" s="126"/>
      <c r="M63" s="126"/>
      <c r="N63" s="121"/>
      <c r="O63" s="126"/>
      <c r="P63" s="126"/>
      <c r="Q63" s="126"/>
      <c r="R63" s="121"/>
      <c r="S63" s="126"/>
      <c r="T63" s="126"/>
      <c r="U63" s="121"/>
      <c r="V63" s="128"/>
      <c r="W63" s="121"/>
    </row>
    <row r="64" spans="1:32" s="122" customFormat="1" ht="25.15" customHeight="1" x14ac:dyDescent="0.25">
      <c r="A64" s="106">
        <v>3</v>
      </c>
      <c r="B64" s="129" t="s">
        <v>77</v>
      </c>
      <c r="C64" s="108" t="s">
        <v>21</v>
      </c>
      <c r="D64" s="108" t="s">
        <v>63</v>
      </c>
      <c r="E64" s="109">
        <v>1</v>
      </c>
      <c r="F64" s="110"/>
      <c r="G64" s="111"/>
      <c r="H64" s="130">
        <v>1175</v>
      </c>
      <c r="I64" s="113" t="s">
        <v>20</v>
      </c>
      <c r="J64" s="114">
        <v>115</v>
      </c>
      <c r="K64" s="113" t="s">
        <v>20</v>
      </c>
      <c r="L64" s="115">
        <v>28</v>
      </c>
      <c r="M64" s="114"/>
      <c r="N64" s="116"/>
      <c r="O64" s="117">
        <f>H64+5</f>
        <v>1180</v>
      </c>
      <c r="P64" s="118">
        <f>J64+5</f>
        <v>120</v>
      </c>
      <c r="Q64" s="118">
        <f>L64+5</f>
        <v>33</v>
      </c>
      <c r="R64" s="119">
        <f>E64+G64</f>
        <v>1</v>
      </c>
      <c r="S64" s="118">
        <f>SUM(O64*P64*Q64)*W64/1000000</f>
        <v>14.0184</v>
      </c>
      <c r="T64" s="118">
        <f>SUM(R64*S64)</f>
        <v>14.0184</v>
      </c>
      <c r="U64" s="119">
        <v>752</v>
      </c>
      <c r="V64" s="120">
        <f>SUM(T64*U64)</f>
        <v>10541.836799999999</v>
      </c>
      <c r="W64" s="121">
        <v>3</v>
      </c>
      <c r="Y64" s="122" t="s">
        <v>91</v>
      </c>
    </row>
    <row r="65" spans="1:32" s="122" customFormat="1" ht="25.15" customHeight="1" x14ac:dyDescent="0.25">
      <c r="A65" s="121"/>
      <c r="B65" s="123"/>
      <c r="C65" s="124"/>
      <c r="D65" s="124"/>
      <c r="E65" s="121"/>
      <c r="F65" s="125"/>
      <c r="G65" s="121"/>
      <c r="H65" s="126"/>
      <c r="I65" s="127"/>
      <c r="J65" s="126"/>
      <c r="K65" s="127"/>
      <c r="L65" s="126"/>
      <c r="M65" s="126"/>
      <c r="N65" s="121"/>
      <c r="O65" s="126"/>
      <c r="P65" s="126"/>
      <c r="Q65" s="126"/>
      <c r="R65" s="121"/>
      <c r="S65" s="126"/>
      <c r="T65" s="126"/>
      <c r="U65" s="121"/>
      <c r="V65" s="128"/>
      <c r="W65" s="121"/>
    </row>
    <row r="66" spans="1:32" s="122" customFormat="1" ht="25.15" customHeight="1" x14ac:dyDescent="0.25">
      <c r="A66" s="106">
        <v>9</v>
      </c>
      <c r="B66" s="131" t="s">
        <v>70</v>
      </c>
      <c r="C66" s="108" t="s">
        <v>67</v>
      </c>
      <c r="D66" s="132" t="s">
        <v>30</v>
      </c>
      <c r="E66" s="109">
        <v>6</v>
      </c>
      <c r="F66" s="110" t="s">
        <v>26</v>
      </c>
      <c r="G66" s="111">
        <v>0</v>
      </c>
      <c r="H66" s="112">
        <v>191</v>
      </c>
      <c r="I66" s="113" t="s">
        <v>20</v>
      </c>
      <c r="J66" s="114">
        <v>191</v>
      </c>
      <c r="K66" s="113" t="s">
        <v>20</v>
      </c>
      <c r="L66" s="115">
        <v>10</v>
      </c>
      <c r="M66" s="114"/>
      <c r="N66" s="133" t="s">
        <v>57</v>
      </c>
      <c r="O66" s="134">
        <f>H66+0.5</f>
        <v>191.5</v>
      </c>
      <c r="P66" s="135">
        <f>J66+0.5</f>
        <v>191.5</v>
      </c>
      <c r="Q66" s="135">
        <f>L66+0.5</f>
        <v>10.5</v>
      </c>
      <c r="R66" s="136">
        <f>E66+G66</f>
        <v>6</v>
      </c>
      <c r="S66" s="135">
        <f>SUM(O66*P66*Q66)*W66/1000000</f>
        <v>3.2190901049999998</v>
      </c>
      <c r="T66" s="135">
        <f>SUM(R66*S66)</f>
        <v>19.31454063</v>
      </c>
      <c r="U66" s="136">
        <v>5500</v>
      </c>
      <c r="V66" s="120">
        <f>SUM(T66*U66)</f>
        <v>106229.973465</v>
      </c>
      <c r="W66" s="121">
        <v>8.36</v>
      </c>
      <c r="X66" s="137" t="s">
        <v>68</v>
      </c>
    </row>
    <row r="67" spans="1:32" s="122" customFormat="1" ht="25.15" customHeight="1" x14ac:dyDescent="0.25">
      <c r="A67" s="106">
        <v>9</v>
      </c>
      <c r="B67" s="131" t="s">
        <v>70</v>
      </c>
      <c r="C67" s="108" t="s">
        <v>67</v>
      </c>
      <c r="D67" s="132" t="s">
        <v>30</v>
      </c>
      <c r="E67" s="109">
        <v>6</v>
      </c>
      <c r="F67" s="110" t="s">
        <v>26</v>
      </c>
      <c r="G67" s="111">
        <v>0</v>
      </c>
      <c r="H67" s="112">
        <v>195</v>
      </c>
      <c r="I67" s="113" t="s">
        <v>20</v>
      </c>
      <c r="J67" s="114">
        <v>170</v>
      </c>
      <c r="K67" s="113" t="s">
        <v>20</v>
      </c>
      <c r="L67" s="115">
        <v>10</v>
      </c>
      <c r="M67" s="114"/>
      <c r="N67" s="133" t="s">
        <v>57</v>
      </c>
      <c r="O67" s="134">
        <f>H67+0.5</f>
        <v>195.5</v>
      </c>
      <c r="P67" s="135">
        <f>J67+0.5</f>
        <v>170.5</v>
      </c>
      <c r="Q67" s="135">
        <f>L67+0.5</f>
        <v>10.5</v>
      </c>
      <c r="R67" s="136">
        <f>E67+G67</f>
        <v>6</v>
      </c>
      <c r="S67" s="135">
        <f>SUM(O67*P67*Q67)*W67/1000000</f>
        <v>2.925948795</v>
      </c>
      <c r="T67" s="135">
        <f>SUM(R67*S67)</f>
        <v>17.55569277</v>
      </c>
      <c r="U67" s="136">
        <v>5500</v>
      </c>
      <c r="V67" s="120">
        <f>SUM(T67*U67)</f>
        <v>96556.310234999997</v>
      </c>
      <c r="W67" s="121">
        <v>8.36</v>
      </c>
      <c r="X67" s="137" t="s">
        <v>68</v>
      </c>
    </row>
    <row r="68" spans="1:32" s="122" customFormat="1" ht="25.15" customHeight="1" x14ac:dyDescent="0.25">
      <c r="A68" s="106">
        <v>9</v>
      </c>
      <c r="B68" s="131" t="s">
        <v>70</v>
      </c>
      <c r="C68" s="108" t="s">
        <v>67</v>
      </c>
      <c r="D68" s="132" t="s">
        <v>30</v>
      </c>
      <c r="E68" s="109">
        <v>12</v>
      </c>
      <c r="F68" s="110" t="s">
        <v>26</v>
      </c>
      <c r="G68" s="111">
        <v>0</v>
      </c>
      <c r="H68" s="112">
        <v>160</v>
      </c>
      <c r="I68" s="113" t="s">
        <v>20</v>
      </c>
      <c r="J68" s="114">
        <v>90</v>
      </c>
      <c r="K68" s="113" t="s">
        <v>20</v>
      </c>
      <c r="L68" s="115">
        <v>10</v>
      </c>
      <c r="M68" s="114"/>
      <c r="N68" s="133" t="s">
        <v>57</v>
      </c>
      <c r="O68" s="134">
        <f>H68+0.5</f>
        <v>160.5</v>
      </c>
      <c r="P68" s="135">
        <f>J68+0.5</f>
        <v>90.5</v>
      </c>
      <c r="Q68" s="135">
        <f>L68+0.5</f>
        <v>10.5</v>
      </c>
      <c r="R68" s="136">
        <f>E68+G68</f>
        <v>12</v>
      </c>
      <c r="S68" s="135">
        <f>SUM(O68*P68*Q68)*W68/1000000</f>
        <v>1.2750264449999997</v>
      </c>
      <c r="T68" s="135">
        <f>SUM(R68*S68)</f>
        <v>15.300317339999996</v>
      </c>
      <c r="U68" s="136">
        <v>5500</v>
      </c>
      <c r="V68" s="120">
        <f>SUM(T68*U68)</f>
        <v>84151.745369999975</v>
      </c>
      <c r="W68" s="121">
        <v>8.36</v>
      </c>
      <c r="X68" s="137" t="s">
        <v>68</v>
      </c>
    </row>
    <row r="69" spans="1:32" ht="25.9" customHeight="1" x14ac:dyDescent="0.25">
      <c r="B69" s="19"/>
      <c r="F69" s="14"/>
      <c r="H69" s="57"/>
      <c r="I69" s="74"/>
      <c r="J69" s="57"/>
      <c r="K69" s="74"/>
      <c r="L69" s="57"/>
      <c r="M69" s="57"/>
      <c r="O69" s="57"/>
      <c r="P69" s="57"/>
      <c r="Q69" s="57"/>
      <c r="S69" s="57"/>
      <c r="T69" s="57"/>
      <c r="V69" s="58"/>
      <c r="AB69" s="45"/>
      <c r="AC69" s="45"/>
      <c r="AD69" s="45"/>
      <c r="AF69" s="45"/>
    </row>
    <row r="70" spans="1:32" ht="25.15" customHeight="1" x14ac:dyDescent="0.25">
      <c r="B70" s="19"/>
      <c r="F70" s="14"/>
      <c r="H70" s="59"/>
      <c r="I70" s="75"/>
      <c r="J70" s="57"/>
      <c r="K70" s="74"/>
      <c r="L70" s="57"/>
      <c r="M70" s="57"/>
      <c r="O70" s="57"/>
      <c r="P70" s="57"/>
      <c r="Q70" s="57"/>
      <c r="S70" s="59"/>
      <c r="T70" s="57"/>
      <c r="V70" s="58"/>
      <c r="AB70" s="45"/>
      <c r="AC70" s="45"/>
      <c r="AD70" s="45"/>
      <c r="AF70" s="45"/>
    </row>
    <row r="71" spans="1:32" ht="25.15" customHeight="1" x14ac:dyDescent="0.25">
      <c r="B71" s="19"/>
      <c r="F71" s="14"/>
      <c r="H71" s="57"/>
      <c r="I71" s="74"/>
      <c r="J71" s="57"/>
      <c r="K71" s="74"/>
      <c r="L71" s="57"/>
      <c r="M71" s="57"/>
      <c r="O71" s="57"/>
      <c r="P71" s="57"/>
      <c r="Q71" s="57"/>
      <c r="S71" s="57"/>
      <c r="T71" s="57"/>
      <c r="V71" s="58"/>
      <c r="AB71" s="45"/>
      <c r="AC71" s="45"/>
      <c r="AD71" s="45"/>
    </row>
    <row r="72" spans="1:32" ht="25.15" customHeight="1" x14ac:dyDescent="0.25">
      <c r="B72" s="19"/>
      <c r="F72" s="14"/>
      <c r="H72" s="57"/>
      <c r="I72" s="74"/>
      <c r="J72" s="57"/>
      <c r="K72" s="74"/>
      <c r="L72" s="57"/>
      <c r="M72" s="57"/>
      <c r="O72" s="57"/>
      <c r="P72" s="57"/>
      <c r="Q72" s="57"/>
      <c r="S72" s="57"/>
      <c r="T72" s="57"/>
      <c r="V72" s="58"/>
      <c r="AB72" s="45"/>
      <c r="AC72" s="45"/>
      <c r="AD72" s="45"/>
    </row>
    <row r="73" spans="1:32" ht="25.15" customHeight="1" x14ac:dyDescent="0.25">
      <c r="B73" s="19"/>
      <c r="F73" s="14"/>
      <c r="H73" s="57"/>
      <c r="I73" s="74"/>
      <c r="J73" s="57"/>
      <c r="K73" s="74"/>
      <c r="L73" s="57"/>
      <c r="M73" s="57"/>
      <c r="O73" s="57"/>
      <c r="P73" s="57"/>
      <c r="Q73" s="57"/>
      <c r="S73" s="57"/>
      <c r="T73" s="57"/>
      <c r="V73" s="58"/>
      <c r="AB73" s="45"/>
      <c r="AC73" s="45"/>
      <c r="AD73" s="45"/>
    </row>
    <row r="74" spans="1:32" ht="25.15" customHeight="1" x14ac:dyDescent="0.25">
      <c r="B74" s="19"/>
      <c r="F74" s="14"/>
      <c r="H74" s="57"/>
      <c r="I74" s="74"/>
      <c r="J74" s="57"/>
      <c r="K74" s="74"/>
      <c r="L74" s="57"/>
      <c r="M74" s="57"/>
      <c r="O74" s="57"/>
      <c r="P74" s="57"/>
      <c r="Q74" s="57"/>
      <c r="S74" s="57"/>
      <c r="T74" s="57"/>
      <c r="V74" s="58"/>
      <c r="AB74" s="45"/>
      <c r="AC74" s="45"/>
      <c r="AD74" s="45"/>
    </row>
    <row r="75" spans="1:32" ht="25.15" customHeight="1" x14ac:dyDescent="0.25">
      <c r="B75" s="19"/>
      <c r="F75" s="14"/>
      <c r="H75" s="57"/>
      <c r="I75" s="74"/>
      <c r="J75" s="57"/>
      <c r="K75" s="74"/>
      <c r="L75" s="57"/>
      <c r="M75" s="57"/>
      <c r="O75" s="57"/>
      <c r="P75" s="57"/>
      <c r="Q75" s="57"/>
      <c r="S75" s="57"/>
      <c r="T75" s="57"/>
      <c r="V75" s="58"/>
      <c r="AB75" s="45"/>
      <c r="AC75" s="45"/>
      <c r="AD75" s="45"/>
    </row>
    <row r="76" spans="1:32" ht="25.15" customHeight="1" x14ac:dyDescent="0.25">
      <c r="B76" s="19"/>
      <c r="F76" s="14"/>
      <c r="H76" s="57"/>
      <c r="I76" s="74"/>
      <c r="J76" s="57"/>
      <c r="K76" s="74"/>
      <c r="L76" s="57"/>
      <c r="M76" s="57"/>
      <c r="N76" s="60"/>
      <c r="O76" s="57"/>
      <c r="P76" s="57"/>
      <c r="Q76" s="57"/>
      <c r="S76" s="57"/>
      <c r="T76" s="57"/>
      <c r="V76" s="58"/>
    </row>
    <row r="77" spans="1:32" ht="25.15" customHeight="1" x14ac:dyDescent="0.25">
      <c r="B77" s="19"/>
      <c r="F77" s="14"/>
      <c r="H77" s="59"/>
      <c r="I77" s="75"/>
      <c r="J77" s="57"/>
      <c r="K77" s="74"/>
      <c r="L77" s="57"/>
      <c r="M77" s="57"/>
      <c r="O77" s="57"/>
      <c r="P77" s="57"/>
      <c r="Q77" s="57"/>
      <c r="S77" s="59"/>
      <c r="T77" s="57"/>
      <c r="V77" s="58"/>
    </row>
    <row r="78" spans="1:32" ht="25.15" customHeight="1" x14ac:dyDescent="0.25">
      <c r="B78" s="19"/>
      <c r="F78" s="14"/>
      <c r="H78" s="57"/>
      <c r="I78" s="74"/>
      <c r="J78" s="57"/>
      <c r="K78" s="74"/>
      <c r="L78" s="57"/>
      <c r="M78" s="57"/>
      <c r="O78" s="57"/>
      <c r="P78" s="57"/>
      <c r="Q78" s="57"/>
      <c r="S78" s="57"/>
      <c r="T78" s="57"/>
      <c r="V78" s="58"/>
      <c r="AB78" s="45"/>
      <c r="AF78" s="45"/>
    </row>
    <row r="79" spans="1:32" ht="25.15" customHeight="1" x14ac:dyDescent="0.25">
      <c r="A79" s="360"/>
      <c r="B79" s="360"/>
      <c r="C79" s="360"/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56"/>
      <c r="P79" s="356"/>
      <c r="Q79" s="356"/>
      <c r="R79" s="356"/>
      <c r="S79" s="356"/>
      <c r="T79" s="356"/>
      <c r="U79" s="356"/>
      <c r="V79" s="56"/>
    </row>
    <row r="80" spans="1:32" ht="25.15" customHeight="1" x14ac:dyDescent="0.25">
      <c r="A80" s="11"/>
      <c r="C80" s="11"/>
      <c r="D80" s="11"/>
      <c r="E80" s="11"/>
      <c r="F80" s="11"/>
      <c r="G80" s="11"/>
      <c r="H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2:22" ht="25.15" customHeight="1" x14ac:dyDescent="0.25"/>
    <row r="82" spans="2:22" x14ac:dyDescent="0.25">
      <c r="B82" s="10"/>
      <c r="S82" s="11"/>
      <c r="T82" s="11"/>
      <c r="U82" s="11"/>
      <c r="V82" s="11"/>
    </row>
  </sheetData>
  <dataConsolidate/>
  <mergeCells count="15">
    <mergeCell ref="A1:N1"/>
    <mergeCell ref="A2:N2"/>
    <mergeCell ref="A3:N3"/>
    <mergeCell ref="A4:N4"/>
    <mergeCell ref="A40:B40"/>
    <mergeCell ref="H5:L5"/>
    <mergeCell ref="E5:G5"/>
    <mergeCell ref="A23:N23"/>
    <mergeCell ref="A39:N39"/>
    <mergeCell ref="A22:N22"/>
    <mergeCell ref="O22:U22"/>
    <mergeCell ref="O39:U39"/>
    <mergeCell ref="O79:U79"/>
    <mergeCell ref="O40:U40"/>
    <mergeCell ref="A79:N79"/>
  </mergeCells>
  <dataValidations count="2">
    <dataValidation type="list" errorStyle="information" allowBlank="1" showErrorMessage="1" sqref="C66:C68 C64 C62 C24:C38 C6:C21">
      <formula1>MATERIAL</formula1>
    </dataValidation>
    <dataValidation type="list" errorStyle="information" allowBlank="1" showErrorMessage="1" sqref="D66:D68 D64 D62 D24:D38 D6:D21">
      <formula1>GRADE</formula1>
    </dataValidation>
  </dataValidations>
  <pageMargins left="0.25" right="0.25" top="0.75" bottom="0.75" header="0.3" footer="0.3"/>
  <pageSetup paperSize="9" scale="68" orientation="portrait" r:id="rId1"/>
  <rowBreaks count="1" manualBreakCount="1">
    <brk id="40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ErrorMessage="1">
          <x14:formula1>
            <xm:f>SHEET1!$A$1:$A$27</xm:f>
          </x14:formula1>
          <xm:sqref>C69:D78 C65:D65 C41:D61 C63:D63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view="pageBreakPreview" zoomScale="60" zoomScaleNormal="85" workbookViewId="0">
      <selection activeCell="A18" sqref="A18:N18"/>
    </sheetView>
  </sheetViews>
  <sheetFormatPr defaultColWidth="9.140625" defaultRowHeight="15" x14ac:dyDescent="0.25"/>
  <cols>
    <col min="1" max="1" width="5.5703125" style="10" customWidth="1"/>
    <col min="2" max="2" width="27.42578125" style="11" customWidth="1"/>
    <col min="3" max="3" width="12.28515625" style="18" customWidth="1"/>
    <col min="4" max="4" width="12.7109375" style="18" customWidth="1"/>
    <col min="5" max="5" width="4" style="10" bestFit="1" customWidth="1"/>
    <col min="6" max="6" width="1.42578125" style="10" customWidth="1"/>
    <col min="7" max="7" width="3.7109375" style="10" customWidth="1"/>
    <col min="8" max="8" width="7.7109375" style="12" customWidth="1"/>
    <col min="9" max="9" width="1.42578125" style="19" customWidth="1"/>
    <col min="10" max="10" width="7.7109375" style="10" customWidth="1"/>
    <col min="11" max="11" width="1.42578125" style="19" customWidth="1"/>
    <col min="12" max="12" width="7.7109375" style="19" customWidth="1"/>
    <col min="13" max="13" width="9.42578125" style="19" customWidth="1"/>
    <col min="14" max="14" width="19.7109375" style="10" customWidth="1"/>
    <col min="15" max="15" width="9.85546875" style="10" bestFit="1" customWidth="1"/>
    <col min="16" max="16" width="9.42578125" style="10" bestFit="1" customWidth="1"/>
    <col min="17" max="17" width="6.5703125" style="10" bestFit="1" customWidth="1"/>
    <col min="18" max="18" width="4.42578125" style="10" bestFit="1" customWidth="1"/>
    <col min="19" max="19" width="6.7109375" style="10" bestFit="1" customWidth="1"/>
    <col min="20" max="20" width="7.28515625" style="10" bestFit="1" customWidth="1"/>
    <col min="21" max="21" width="6.42578125" style="10" customWidth="1"/>
    <col min="22" max="22" width="14.7109375" style="10" bestFit="1" customWidth="1"/>
    <col min="23" max="23" width="9.140625" style="78"/>
    <col min="24" max="28" width="9.140625" style="11"/>
    <col min="29" max="29" width="2.28515625" style="11" bestFit="1" customWidth="1"/>
    <col min="30" max="34" width="8.85546875" style="11" customWidth="1"/>
    <col min="35" max="16384" width="9.140625" style="11"/>
  </cols>
  <sheetData>
    <row r="1" spans="1:30" ht="25.15" customHeight="1" thickTop="1" x14ac:dyDescent="0.25">
      <c r="A1" s="361" t="s">
        <v>0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3"/>
      <c r="N1" s="364"/>
    </row>
    <row r="2" spans="1:30" ht="25.15" customHeight="1" x14ac:dyDescent="0.25">
      <c r="A2" s="365" t="s">
        <v>116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7"/>
      <c r="N2" s="368"/>
    </row>
    <row r="3" spans="1:30" ht="25.15" customHeight="1" x14ac:dyDescent="0.4">
      <c r="A3" s="369" t="s">
        <v>115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1"/>
      <c r="N3" s="372"/>
    </row>
    <row r="4" spans="1:30" ht="25.15" customHeight="1" thickBot="1" x14ac:dyDescent="0.45">
      <c r="A4" s="400" t="s">
        <v>103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2"/>
      <c r="N4" s="403"/>
    </row>
    <row r="5" spans="1:30" ht="27.6" customHeight="1" thickTop="1" x14ac:dyDescent="0.25">
      <c r="A5" s="48" t="s">
        <v>1</v>
      </c>
      <c r="B5" s="49" t="s">
        <v>2</v>
      </c>
      <c r="C5" s="50" t="s">
        <v>3</v>
      </c>
      <c r="D5" s="50" t="s">
        <v>50</v>
      </c>
      <c r="E5" s="382" t="s">
        <v>18</v>
      </c>
      <c r="F5" s="383"/>
      <c r="G5" s="384"/>
      <c r="H5" s="379" t="s">
        <v>4</v>
      </c>
      <c r="I5" s="380"/>
      <c r="J5" s="380"/>
      <c r="K5" s="380"/>
      <c r="L5" s="381"/>
      <c r="M5" s="77"/>
      <c r="N5" s="51" t="s">
        <v>5</v>
      </c>
      <c r="O5" s="52" t="s">
        <v>6</v>
      </c>
      <c r="P5" s="53" t="s">
        <v>7</v>
      </c>
      <c r="Q5" s="53" t="s">
        <v>8</v>
      </c>
      <c r="R5" s="53" t="s">
        <v>9</v>
      </c>
      <c r="S5" s="53" t="s">
        <v>10</v>
      </c>
      <c r="T5" s="54" t="s">
        <v>46</v>
      </c>
      <c r="U5" s="53" t="s">
        <v>11</v>
      </c>
      <c r="V5" s="55" t="s">
        <v>12</v>
      </c>
      <c r="AB5" s="45"/>
      <c r="AC5" s="45"/>
      <c r="AD5" s="45"/>
    </row>
    <row r="6" spans="1:30" ht="25.15" customHeight="1" x14ac:dyDescent="0.25">
      <c r="A6" s="80">
        <v>1</v>
      </c>
      <c r="B6" s="250" t="s">
        <v>104</v>
      </c>
      <c r="C6" s="70" t="s">
        <v>51</v>
      </c>
      <c r="D6" s="70" t="s">
        <v>105</v>
      </c>
      <c r="E6" s="65">
        <v>4</v>
      </c>
      <c r="F6" s="248"/>
      <c r="G6" s="41"/>
      <c r="H6" s="251">
        <v>135</v>
      </c>
      <c r="I6" s="85" t="s">
        <v>20</v>
      </c>
      <c r="J6" s="85">
        <v>135</v>
      </c>
      <c r="K6" s="85" t="s">
        <v>20</v>
      </c>
      <c r="L6" s="89">
        <v>40</v>
      </c>
      <c r="M6" s="47"/>
      <c r="N6" s="83"/>
      <c r="O6" s="39">
        <f>H6+5</f>
        <v>140</v>
      </c>
      <c r="P6" s="40">
        <f>J6+5</f>
        <v>140</v>
      </c>
      <c r="Q6" s="40">
        <f>L6+5</f>
        <v>45</v>
      </c>
      <c r="R6" s="38">
        <f>E6+G6</f>
        <v>4</v>
      </c>
      <c r="S6" s="40">
        <f>SUM(O6*P6*Q6)*W6/1000000</f>
        <v>7.1001000000000012</v>
      </c>
      <c r="T6" s="40">
        <f t="shared" ref="T6:T13" si="0">SUM(R6*S6)</f>
        <v>28.400400000000005</v>
      </c>
      <c r="U6" s="38">
        <v>480</v>
      </c>
      <c r="V6" s="43">
        <f t="shared" ref="V6:V13" si="1">SUM(T6*U6)</f>
        <v>13632.192000000003</v>
      </c>
      <c r="W6" s="90">
        <v>8.0500000000000007</v>
      </c>
    </row>
    <row r="7" spans="1:30" ht="25.15" customHeight="1" x14ac:dyDescent="0.25">
      <c r="A7" s="80">
        <v>2</v>
      </c>
      <c r="B7" s="253" t="s">
        <v>106</v>
      </c>
      <c r="C7" s="70" t="s">
        <v>21</v>
      </c>
      <c r="D7" s="70" t="s">
        <v>21</v>
      </c>
      <c r="E7" s="65">
        <v>1</v>
      </c>
      <c r="F7" s="248"/>
      <c r="G7" s="41"/>
      <c r="H7" s="42">
        <v>252</v>
      </c>
      <c r="I7" s="28" t="s">
        <v>20</v>
      </c>
      <c r="J7" s="47">
        <v>110</v>
      </c>
      <c r="K7" s="28" t="s">
        <v>20</v>
      </c>
      <c r="L7" s="44">
        <v>40</v>
      </c>
      <c r="M7" s="47"/>
      <c r="N7" s="149"/>
      <c r="O7" s="39">
        <f>H7+5</f>
        <v>257</v>
      </c>
      <c r="P7" s="40">
        <f>J7+5</f>
        <v>115</v>
      </c>
      <c r="Q7" s="40">
        <f>L7+5</f>
        <v>45</v>
      </c>
      <c r="R7" s="38">
        <f t="shared" ref="R7:R12" si="2">E7+G7</f>
        <v>1</v>
      </c>
      <c r="S7" s="40">
        <f>SUM(O7*P7*Q7)*W7/1000000</f>
        <v>3.9899249999999999</v>
      </c>
      <c r="T7" s="40">
        <f t="shared" si="0"/>
        <v>3.9899249999999999</v>
      </c>
      <c r="U7" s="38">
        <v>500</v>
      </c>
      <c r="V7" s="43">
        <f t="shared" si="1"/>
        <v>1994.9624999999999</v>
      </c>
      <c r="W7" s="78">
        <v>3</v>
      </c>
      <c r="AB7" s="45"/>
      <c r="AC7" s="45"/>
      <c r="AD7" s="45"/>
    </row>
    <row r="8" spans="1:30" ht="24.75" customHeight="1" x14ac:dyDescent="0.25">
      <c r="A8" s="80">
        <v>3</v>
      </c>
      <c r="B8" s="250" t="s">
        <v>107</v>
      </c>
      <c r="C8" s="70" t="s">
        <v>51</v>
      </c>
      <c r="D8" s="70" t="s">
        <v>105</v>
      </c>
      <c r="E8" s="65">
        <v>2</v>
      </c>
      <c r="F8" s="248"/>
      <c r="G8" s="41"/>
      <c r="H8" s="251">
        <v>213</v>
      </c>
      <c r="I8" s="85" t="s">
        <v>20</v>
      </c>
      <c r="J8" s="85">
        <v>62</v>
      </c>
      <c r="K8" s="85" t="s">
        <v>20</v>
      </c>
      <c r="L8" s="89">
        <v>10</v>
      </c>
      <c r="M8" s="47"/>
      <c r="N8" s="83" t="s">
        <v>57</v>
      </c>
      <c r="O8" s="39">
        <f>H8+5</f>
        <v>218</v>
      </c>
      <c r="P8" s="40">
        <f>J8+5</f>
        <v>67</v>
      </c>
      <c r="Q8" s="40">
        <f>L8+5</f>
        <v>15</v>
      </c>
      <c r="R8" s="38">
        <f t="shared" si="2"/>
        <v>2</v>
      </c>
      <c r="S8" s="40">
        <f>SUM(O8*P8*Q8)*W8/1000000</f>
        <v>1.7636745000000003</v>
      </c>
      <c r="T8" s="40">
        <f t="shared" si="0"/>
        <v>3.5273490000000005</v>
      </c>
      <c r="U8" s="38">
        <v>480</v>
      </c>
      <c r="V8" s="43">
        <f t="shared" si="1"/>
        <v>1693.1275200000002</v>
      </c>
      <c r="W8" s="90">
        <v>8.0500000000000007</v>
      </c>
    </row>
    <row r="9" spans="1:30" ht="25.15" customHeight="1" x14ac:dyDescent="0.25">
      <c r="A9" s="80">
        <v>4</v>
      </c>
      <c r="B9" s="250" t="s">
        <v>108</v>
      </c>
      <c r="C9" s="70" t="s">
        <v>21</v>
      </c>
      <c r="D9" s="70" t="s">
        <v>21</v>
      </c>
      <c r="E9" s="65">
        <v>1</v>
      </c>
      <c r="F9" s="13"/>
      <c r="G9" s="41"/>
      <c r="H9" s="251">
        <v>222.70400000000001</v>
      </c>
      <c r="I9" s="85" t="s">
        <v>20</v>
      </c>
      <c r="J9" s="85">
        <v>29</v>
      </c>
      <c r="K9" s="85" t="s">
        <v>20</v>
      </c>
      <c r="L9" s="89">
        <v>3</v>
      </c>
      <c r="M9" s="47"/>
      <c r="N9" s="20" t="s">
        <v>109</v>
      </c>
      <c r="O9" s="39">
        <f>H9+5</f>
        <v>227.70400000000001</v>
      </c>
      <c r="P9" s="40">
        <f>J9+5</f>
        <v>34</v>
      </c>
      <c r="Q9" s="150">
        <f>L9+0</f>
        <v>3</v>
      </c>
      <c r="R9" s="38">
        <f t="shared" si="2"/>
        <v>1</v>
      </c>
      <c r="S9" s="40">
        <f>SUM(O9*P9*Q9)*W9/1000000</f>
        <v>6.9677424000000002E-2</v>
      </c>
      <c r="T9" s="40">
        <f t="shared" si="0"/>
        <v>6.9677424000000002E-2</v>
      </c>
      <c r="U9" s="38">
        <v>500</v>
      </c>
      <c r="V9" s="43">
        <f t="shared" si="1"/>
        <v>34.838712000000001</v>
      </c>
      <c r="W9" s="78">
        <v>3</v>
      </c>
      <c r="AB9" s="45"/>
      <c r="AC9" s="45"/>
      <c r="AD9" s="45"/>
    </row>
    <row r="10" spans="1:30" ht="25.15" customHeight="1" x14ac:dyDescent="0.25">
      <c r="A10" s="80">
        <v>5</v>
      </c>
      <c r="B10" s="250" t="s">
        <v>110</v>
      </c>
      <c r="C10" s="70" t="s">
        <v>51</v>
      </c>
      <c r="D10" s="70" t="s">
        <v>22</v>
      </c>
      <c r="E10" s="94">
        <v>4</v>
      </c>
      <c r="F10" s="91"/>
      <c r="G10" s="138"/>
      <c r="H10" s="95"/>
      <c r="I10" s="254" t="s">
        <v>86</v>
      </c>
      <c r="J10" s="100">
        <v>20</v>
      </c>
      <c r="K10" s="85" t="s">
        <v>20</v>
      </c>
      <c r="L10" s="89">
        <v>68.8</v>
      </c>
      <c r="M10" s="47"/>
      <c r="N10" s="151"/>
      <c r="O10" s="99">
        <f>J10+5</f>
        <v>25</v>
      </c>
      <c r="P10" s="86">
        <f>L10+5</f>
        <v>73.8</v>
      </c>
      <c r="Q10" s="86"/>
      <c r="R10" s="87">
        <f>E10+G10</f>
        <v>4</v>
      </c>
      <c r="S10" s="92">
        <f>SUM(3.14*(O10*O10)/4*P10*W10/1000000)</f>
        <v>0.29147540625000001</v>
      </c>
      <c r="T10" s="86">
        <f t="shared" si="0"/>
        <v>1.1659016250000001</v>
      </c>
      <c r="U10" s="87">
        <v>480</v>
      </c>
      <c r="V10" s="93">
        <f t="shared" si="1"/>
        <v>559.63278000000003</v>
      </c>
      <c r="W10" s="90">
        <v>8.0500000000000007</v>
      </c>
      <c r="X10" s="78"/>
    </row>
    <row r="11" spans="1:30" ht="25.15" customHeight="1" x14ac:dyDescent="0.25">
      <c r="A11" s="80">
        <v>6</v>
      </c>
      <c r="B11" s="250" t="s">
        <v>111</v>
      </c>
      <c r="C11" s="70" t="s">
        <v>51</v>
      </c>
      <c r="D11" s="70" t="s">
        <v>105</v>
      </c>
      <c r="E11" s="94">
        <v>4</v>
      </c>
      <c r="F11" s="91"/>
      <c r="G11" s="138"/>
      <c r="H11" s="95"/>
      <c r="I11" s="254" t="s">
        <v>86</v>
      </c>
      <c r="J11" s="100">
        <v>20</v>
      </c>
      <c r="K11" s="85" t="s">
        <v>20</v>
      </c>
      <c r="L11" s="89">
        <v>62.8</v>
      </c>
      <c r="M11" s="84"/>
      <c r="N11" s="151"/>
      <c r="O11" s="99">
        <f>J11+5</f>
        <v>25</v>
      </c>
      <c r="P11" s="86">
        <f>L11+5</f>
        <v>67.8</v>
      </c>
      <c r="Q11" s="86"/>
      <c r="R11" s="87">
        <f>E11+G11</f>
        <v>4</v>
      </c>
      <c r="S11" s="92">
        <f>SUM(3.14*(O11*O11)/4*P11*W11/1000000)</f>
        <v>0.26777821875000002</v>
      </c>
      <c r="T11" s="86">
        <f t="shared" si="0"/>
        <v>1.0711128750000001</v>
      </c>
      <c r="U11" s="87">
        <v>480</v>
      </c>
      <c r="V11" s="93">
        <f t="shared" si="1"/>
        <v>514.13418000000001</v>
      </c>
      <c r="W11" s="90">
        <v>8.0500000000000007</v>
      </c>
    </row>
    <row r="12" spans="1:30" ht="25.15" customHeight="1" x14ac:dyDescent="0.25">
      <c r="A12" s="80">
        <v>7</v>
      </c>
      <c r="B12" s="96" t="s">
        <v>112</v>
      </c>
      <c r="C12" s="70" t="s">
        <v>51</v>
      </c>
      <c r="D12" s="70" t="s">
        <v>105</v>
      </c>
      <c r="E12" s="65">
        <v>1</v>
      </c>
      <c r="F12" s="13"/>
      <c r="G12" s="41"/>
      <c r="H12" s="251">
        <v>150</v>
      </c>
      <c r="I12" s="85" t="s">
        <v>20</v>
      </c>
      <c r="J12" s="85">
        <v>120</v>
      </c>
      <c r="K12" s="85" t="s">
        <v>20</v>
      </c>
      <c r="L12" s="89">
        <v>5</v>
      </c>
      <c r="M12" s="47"/>
      <c r="N12" s="20" t="s">
        <v>57</v>
      </c>
      <c r="O12" s="39">
        <f>H12+5</f>
        <v>155</v>
      </c>
      <c r="P12" s="40">
        <f>J12+5</f>
        <v>125</v>
      </c>
      <c r="Q12" s="152">
        <f>L12+0</f>
        <v>5</v>
      </c>
      <c r="R12" s="38">
        <f t="shared" si="2"/>
        <v>1</v>
      </c>
      <c r="S12" s="40">
        <f>SUM(O12*P12*Q12)*W12/1000000</f>
        <v>0.77984375000000017</v>
      </c>
      <c r="T12" s="40">
        <f t="shared" si="0"/>
        <v>0.77984375000000017</v>
      </c>
      <c r="U12" s="38">
        <v>480</v>
      </c>
      <c r="V12" s="43">
        <f t="shared" si="1"/>
        <v>374.3250000000001</v>
      </c>
      <c r="W12" s="78">
        <v>8.0500000000000007</v>
      </c>
    </row>
    <row r="13" spans="1:30" ht="30" x14ac:dyDescent="0.25">
      <c r="A13" s="80">
        <v>8</v>
      </c>
      <c r="B13" s="255" t="s">
        <v>113</v>
      </c>
      <c r="C13" s="139" t="s">
        <v>54</v>
      </c>
      <c r="D13" s="139" t="s">
        <v>29</v>
      </c>
      <c r="E13" s="65">
        <v>12</v>
      </c>
      <c r="F13" s="13" t="s">
        <v>26</v>
      </c>
      <c r="G13" s="41">
        <v>2</v>
      </c>
      <c r="H13" s="68"/>
      <c r="I13" s="256" t="s">
        <v>44</v>
      </c>
      <c r="J13" s="28">
        <v>31.4</v>
      </c>
      <c r="K13" s="47" t="s">
        <v>20</v>
      </c>
      <c r="L13" s="257">
        <v>55</v>
      </c>
      <c r="M13" s="84"/>
      <c r="N13" s="258" t="s">
        <v>278</v>
      </c>
      <c r="O13" s="150">
        <v>35</v>
      </c>
      <c r="P13" s="150">
        <v>410</v>
      </c>
      <c r="Q13" s="40"/>
      <c r="R13" s="150">
        <v>2</v>
      </c>
      <c r="S13" s="15">
        <f>SUM(3.14*(O13*O13)/4*P13*W13/1000000)</f>
        <v>0.39426624999999998</v>
      </c>
      <c r="T13" s="40">
        <f t="shared" si="0"/>
        <v>0.78853249999999997</v>
      </c>
      <c r="U13" s="38">
        <v>500</v>
      </c>
      <c r="V13" s="43">
        <f t="shared" si="1"/>
        <v>394.26624999999996</v>
      </c>
      <c r="W13" s="10">
        <v>1</v>
      </c>
    </row>
    <row r="14" spans="1:30" ht="25.15" customHeight="1" x14ac:dyDescent="0.25">
      <c r="A14" s="80">
        <v>9</v>
      </c>
      <c r="B14" s="96" t="s">
        <v>285</v>
      </c>
      <c r="C14" s="70" t="s">
        <v>51</v>
      </c>
      <c r="D14" s="70" t="s">
        <v>256</v>
      </c>
      <c r="E14" s="65">
        <v>1</v>
      </c>
      <c r="F14" s="13"/>
      <c r="G14" s="41"/>
      <c r="H14" s="251">
        <v>110</v>
      </c>
      <c r="I14" s="85" t="s">
        <v>20</v>
      </c>
      <c r="J14" s="85">
        <v>85</v>
      </c>
      <c r="K14" s="85" t="s">
        <v>20</v>
      </c>
      <c r="L14" s="89">
        <v>20</v>
      </c>
      <c r="M14" s="47"/>
      <c r="N14" s="20"/>
      <c r="O14" s="39">
        <f>H14+5</f>
        <v>115</v>
      </c>
      <c r="P14" s="40">
        <f>J14+5</f>
        <v>90</v>
      </c>
      <c r="Q14" s="40">
        <f>L14+0</f>
        <v>20</v>
      </c>
      <c r="R14" s="38">
        <f>E14+G14</f>
        <v>1</v>
      </c>
      <c r="S14" s="40">
        <f>SUM(O14*P14*Q14)*W14/1000000</f>
        <v>1.6663500000000002</v>
      </c>
      <c r="T14" s="40">
        <f t="shared" ref="T14:T16" si="3">SUM(R14*S14)</f>
        <v>1.6663500000000002</v>
      </c>
      <c r="U14" s="38">
        <v>100</v>
      </c>
      <c r="V14" s="43">
        <f t="shared" ref="V14:V16" si="4">SUM(T14*U14)</f>
        <v>166.63500000000002</v>
      </c>
      <c r="W14" s="78">
        <v>8.0500000000000007</v>
      </c>
    </row>
    <row r="15" spans="1:30" ht="25.15" customHeight="1" x14ac:dyDescent="0.25">
      <c r="A15" s="80">
        <v>10</v>
      </c>
      <c r="B15" s="96" t="s">
        <v>301</v>
      </c>
      <c r="C15" s="70" t="s">
        <v>51</v>
      </c>
      <c r="D15" s="70" t="s">
        <v>256</v>
      </c>
      <c r="E15" s="65">
        <v>1</v>
      </c>
      <c r="F15" s="13"/>
      <c r="G15" s="41"/>
      <c r="H15" s="251">
        <v>110</v>
      </c>
      <c r="I15" s="85" t="s">
        <v>20</v>
      </c>
      <c r="J15" s="85">
        <v>100</v>
      </c>
      <c r="K15" s="85" t="s">
        <v>20</v>
      </c>
      <c r="L15" s="89">
        <v>20</v>
      </c>
      <c r="M15" s="47"/>
      <c r="N15" s="20"/>
      <c r="O15" s="39">
        <f>H15+5</f>
        <v>115</v>
      </c>
      <c r="P15" s="40">
        <f>J15+5</f>
        <v>105</v>
      </c>
      <c r="Q15" s="40">
        <f>L15+0</f>
        <v>20</v>
      </c>
      <c r="R15" s="38">
        <f>E15+G15</f>
        <v>1</v>
      </c>
      <c r="S15" s="40">
        <f>SUM(O15*P15*Q15)*W15/1000000</f>
        <v>1.9440750000000002</v>
      </c>
      <c r="T15" s="40">
        <f t="shared" ref="T15" si="5">SUM(R15*S15)</f>
        <v>1.9440750000000002</v>
      </c>
      <c r="U15" s="38">
        <v>100</v>
      </c>
      <c r="V15" s="43">
        <f t="shared" ref="V15" si="6">SUM(T15*U15)</f>
        <v>194.40750000000003</v>
      </c>
      <c r="W15" s="78">
        <v>8.0500000000000007</v>
      </c>
    </row>
    <row r="16" spans="1:30" ht="25.15" customHeight="1" x14ac:dyDescent="0.25">
      <c r="A16" s="80">
        <v>11</v>
      </c>
      <c r="B16" s="96" t="s">
        <v>286</v>
      </c>
      <c r="C16" s="70" t="s">
        <v>51</v>
      </c>
      <c r="D16" s="70" t="s">
        <v>256</v>
      </c>
      <c r="E16" s="65">
        <v>1</v>
      </c>
      <c r="F16" s="13"/>
      <c r="G16" s="41"/>
      <c r="H16" s="251">
        <v>200</v>
      </c>
      <c r="I16" s="85" t="s">
        <v>20</v>
      </c>
      <c r="J16" s="85">
        <v>120</v>
      </c>
      <c r="K16" s="85" t="s">
        <v>20</v>
      </c>
      <c r="L16" s="89">
        <v>20</v>
      </c>
      <c r="M16" s="47"/>
      <c r="N16" s="20"/>
      <c r="O16" s="39">
        <f>H16+5</f>
        <v>205</v>
      </c>
      <c r="P16" s="40">
        <f>J16+5</f>
        <v>125</v>
      </c>
      <c r="Q16" s="40">
        <f>L16+0</f>
        <v>20</v>
      </c>
      <c r="R16" s="38">
        <f>E16+G16</f>
        <v>1</v>
      </c>
      <c r="S16" s="40">
        <f>SUM(O16*P16*Q16)*W16/1000000</f>
        <v>4.1256250000000003</v>
      </c>
      <c r="T16" s="40">
        <f t="shared" si="3"/>
        <v>4.1256250000000003</v>
      </c>
      <c r="U16" s="38">
        <v>100</v>
      </c>
      <c r="V16" s="43">
        <f t="shared" si="4"/>
        <v>412.56250000000006</v>
      </c>
      <c r="W16" s="78">
        <v>8.0500000000000007</v>
      </c>
    </row>
    <row r="17" spans="1:32" s="247" customFormat="1" ht="25.15" customHeight="1" x14ac:dyDescent="0.25">
      <c r="A17" s="80"/>
      <c r="B17" s="233"/>
      <c r="C17" s="234"/>
      <c r="D17" s="234"/>
      <c r="E17" s="235"/>
      <c r="F17" s="236"/>
      <c r="G17" s="237"/>
      <c r="H17" s="238"/>
      <c r="I17" s="239"/>
      <c r="J17" s="239"/>
      <c r="K17" s="239"/>
      <c r="L17" s="240"/>
      <c r="M17" s="239"/>
      <c r="N17" s="241"/>
      <c r="O17" s="242"/>
      <c r="P17" s="243"/>
      <c r="Q17" s="243"/>
      <c r="R17" s="244"/>
      <c r="S17" s="243"/>
      <c r="T17" s="243"/>
      <c r="U17" s="244"/>
      <c r="V17" s="245"/>
      <c r="W17" s="246"/>
    </row>
    <row r="18" spans="1:32" ht="25.15" customHeight="1" thickBot="1" x14ac:dyDescent="0.3">
      <c r="A18" s="394" t="s">
        <v>319</v>
      </c>
      <c r="B18" s="395"/>
      <c r="C18" s="395"/>
      <c r="D18" s="395"/>
      <c r="E18" s="395"/>
      <c r="F18" s="395"/>
      <c r="G18" s="395"/>
      <c r="H18" s="395"/>
      <c r="I18" s="395"/>
      <c r="J18" s="395"/>
      <c r="K18" s="395"/>
      <c r="L18" s="395"/>
      <c r="M18" s="395"/>
      <c r="N18" s="396"/>
      <c r="O18" s="351"/>
      <c r="P18" s="352"/>
      <c r="Q18" s="352"/>
      <c r="R18" s="352"/>
      <c r="S18" s="352"/>
      <c r="T18" s="352"/>
      <c r="U18" s="397"/>
      <c r="V18" s="43"/>
    </row>
    <row r="19" spans="1:32" ht="25.15" customHeight="1" thickTop="1" thickBot="1" x14ac:dyDescent="0.3">
      <c r="A19" s="398" t="s">
        <v>270</v>
      </c>
      <c r="B19" s="399"/>
      <c r="C19" s="61" t="s">
        <v>289</v>
      </c>
      <c r="D19" s="61"/>
      <c r="E19" s="62"/>
      <c r="F19" s="62"/>
      <c r="G19" s="62"/>
      <c r="H19" s="63"/>
      <c r="I19" s="64"/>
      <c r="J19" s="62"/>
      <c r="K19" s="64"/>
      <c r="L19" s="64"/>
      <c r="M19" s="64"/>
      <c r="N19" s="72" t="s">
        <v>114</v>
      </c>
      <c r="O19" s="357" t="s">
        <v>66</v>
      </c>
      <c r="P19" s="358"/>
      <c r="Q19" s="358"/>
      <c r="R19" s="358"/>
      <c r="S19" s="358"/>
      <c r="T19" s="358"/>
      <c r="U19" s="359"/>
      <c r="V19" s="46">
        <f>SUM(V6:V17)</f>
        <v>19971.083942000005</v>
      </c>
    </row>
    <row r="20" spans="1:32" ht="25.15" customHeight="1" thickTop="1" x14ac:dyDescent="0.25">
      <c r="B20" s="19"/>
      <c r="F20" s="14"/>
      <c r="H20" s="57"/>
      <c r="I20" s="74"/>
      <c r="J20" s="57"/>
      <c r="K20" s="74"/>
      <c r="L20" s="57"/>
      <c r="M20" s="57"/>
      <c r="O20" s="57"/>
      <c r="P20" s="57"/>
      <c r="Q20" s="57"/>
      <c r="S20" s="57"/>
      <c r="T20" s="57"/>
      <c r="V20" s="58"/>
      <c r="AB20" s="45"/>
      <c r="AC20" s="45"/>
      <c r="AD20" s="45"/>
      <c r="AF20" s="45"/>
    </row>
    <row r="21" spans="1:32" ht="25.15" customHeight="1" x14ac:dyDescent="0.25">
      <c r="B21" s="19"/>
      <c r="D21" s="82"/>
      <c r="F21" s="14"/>
      <c r="H21" s="57"/>
      <c r="I21" s="74"/>
      <c r="J21" s="57"/>
      <c r="K21" s="74"/>
      <c r="L21" s="57"/>
      <c r="M21" s="57"/>
      <c r="O21" s="57"/>
      <c r="P21" s="57"/>
      <c r="Q21" s="57"/>
      <c r="S21" s="57"/>
      <c r="T21" s="57"/>
      <c r="V21" s="58"/>
      <c r="AB21" s="45"/>
      <c r="AC21" s="45"/>
      <c r="AD21" s="45"/>
      <c r="AF21" s="45"/>
    </row>
    <row r="22" spans="1:32" ht="25.15" customHeight="1" x14ac:dyDescent="0.25">
      <c r="B22" s="19"/>
      <c r="F22" s="14"/>
      <c r="H22" s="57"/>
      <c r="I22" s="74"/>
      <c r="J22" s="57"/>
      <c r="K22" s="74"/>
      <c r="L22" s="57"/>
      <c r="M22" s="57"/>
      <c r="O22" s="57"/>
      <c r="P22" s="57"/>
      <c r="Q22" s="57"/>
      <c r="S22" s="57"/>
      <c r="T22" s="57"/>
      <c r="V22" s="58"/>
      <c r="AB22" s="45"/>
      <c r="AC22" s="45"/>
      <c r="AD22" s="45"/>
      <c r="AF22" s="45"/>
    </row>
    <row r="23" spans="1:32" ht="25.15" customHeight="1" x14ac:dyDescent="0.25">
      <c r="B23" s="19"/>
      <c r="F23" s="14"/>
      <c r="H23" s="57"/>
      <c r="I23" s="74"/>
      <c r="J23" s="57"/>
      <c r="K23" s="74"/>
      <c r="L23" s="57"/>
      <c r="M23" s="57"/>
      <c r="O23" s="57"/>
      <c r="P23" s="57"/>
      <c r="Q23" s="57"/>
      <c r="S23" s="57"/>
      <c r="T23" s="57"/>
      <c r="V23" s="58"/>
      <c r="AB23" s="45"/>
      <c r="AC23" s="45"/>
      <c r="AD23" s="45"/>
      <c r="AF23" s="45"/>
    </row>
    <row r="24" spans="1:32" ht="25.15" customHeight="1" x14ac:dyDescent="0.25">
      <c r="B24" s="19"/>
      <c r="F24" s="14"/>
      <c r="H24" s="57"/>
      <c r="I24" s="74"/>
      <c r="J24" s="57"/>
      <c r="K24" s="74"/>
      <c r="L24" s="57"/>
      <c r="M24" s="57"/>
      <c r="O24" s="57"/>
      <c r="P24" s="57"/>
      <c r="Q24" s="57"/>
      <c r="S24" s="57"/>
      <c r="T24" s="57"/>
      <c r="V24" s="58"/>
      <c r="AB24" s="45"/>
      <c r="AC24" s="45"/>
      <c r="AD24" s="45"/>
      <c r="AF24" s="45"/>
    </row>
    <row r="25" spans="1:32" ht="25.15" customHeight="1" x14ac:dyDescent="0.25">
      <c r="B25" s="19"/>
      <c r="F25" s="14"/>
      <c r="H25" s="57"/>
      <c r="I25" s="74"/>
      <c r="J25" s="57"/>
      <c r="K25" s="74"/>
      <c r="L25" s="57"/>
      <c r="M25" s="57"/>
      <c r="O25" s="57"/>
      <c r="P25" s="57"/>
      <c r="Q25" s="57"/>
      <c r="S25" s="57"/>
      <c r="T25" s="57"/>
      <c r="V25" s="58"/>
      <c r="AB25" s="45"/>
      <c r="AC25" s="45"/>
      <c r="AD25" s="45"/>
      <c r="AF25" s="45"/>
    </row>
    <row r="26" spans="1:32" ht="25.15" customHeight="1" x14ac:dyDescent="0.25">
      <c r="B26" s="19"/>
      <c r="F26" s="14"/>
      <c r="H26" s="57"/>
      <c r="I26" s="74"/>
      <c r="J26" s="57"/>
      <c r="K26" s="74"/>
      <c r="L26" s="57"/>
      <c r="M26" s="57"/>
      <c r="O26" s="57"/>
      <c r="P26" s="57"/>
      <c r="Q26" s="57"/>
      <c r="S26" s="57"/>
      <c r="T26" s="57"/>
      <c r="V26" s="58"/>
      <c r="AB26" s="45"/>
      <c r="AC26" s="45"/>
      <c r="AD26" s="45"/>
      <c r="AF26" s="45"/>
    </row>
    <row r="27" spans="1:32" ht="25.15" customHeight="1" x14ac:dyDescent="0.25">
      <c r="B27" s="19"/>
      <c r="F27" s="14"/>
      <c r="H27" s="57"/>
      <c r="I27" s="74"/>
      <c r="J27" s="57"/>
      <c r="K27" s="74"/>
      <c r="L27" s="57"/>
      <c r="M27" s="57"/>
      <c r="O27" s="57"/>
      <c r="P27" s="57"/>
      <c r="Q27" s="57"/>
      <c r="S27" s="57"/>
      <c r="T27" s="57"/>
      <c r="V27" s="58"/>
      <c r="AB27" s="45"/>
      <c r="AC27" s="45"/>
      <c r="AD27" s="45"/>
      <c r="AF27" s="45"/>
    </row>
    <row r="28" spans="1:32" ht="25.15" customHeight="1" x14ac:dyDescent="0.25">
      <c r="B28" s="19"/>
      <c r="F28" s="14"/>
      <c r="H28" s="57"/>
      <c r="I28" s="74"/>
      <c r="J28" s="57"/>
      <c r="K28" s="74"/>
      <c r="L28" s="57"/>
      <c r="M28" s="57"/>
      <c r="O28" s="57"/>
      <c r="P28" s="57"/>
      <c r="Q28" s="57"/>
      <c r="S28" s="57"/>
      <c r="T28" s="57"/>
      <c r="V28" s="58"/>
      <c r="AB28" s="45"/>
      <c r="AC28" s="45"/>
      <c r="AD28" s="45"/>
      <c r="AF28" s="45"/>
    </row>
    <row r="29" spans="1:32" ht="25.15" customHeight="1" x14ac:dyDescent="0.25">
      <c r="B29" s="19"/>
      <c r="F29" s="14"/>
      <c r="H29" s="57"/>
      <c r="I29" s="74"/>
      <c r="J29" s="57"/>
      <c r="K29" s="74"/>
      <c r="L29" s="57"/>
      <c r="M29" s="57"/>
      <c r="O29" s="57"/>
      <c r="P29" s="57"/>
      <c r="Q29" s="57"/>
      <c r="S29" s="57"/>
      <c r="T29" s="57"/>
      <c r="V29" s="58"/>
      <c r="AB29" s="45"/>
      <c r="AC29" s="45"/>
      <c r="AD29" s="45"/>
      <c r="AF29" s="45"/>
    </row>
    <row r="30" spans="1:32" ht="25.15" customHeight="1" x14ac:dyDescent="0.25">
      <c r="B30" s="19"/>
      <c r="F30" s="14"/>
      <c r="H30" s="57"/>
      <c r="I30" s="74"/>
      <c r="J30" s="57"/>
      <c r="K30" s="74"/>
      <c r="L30" s="57"/>
      <c r="M30" s="57"/>
      <c r="O30" s="57"/>
      <c r="P30" s="57"/>
      <c r="Q30" s="57"/>
      <c r="S30" s="57"/>
      <c r="T30" s="57"/>
      <c r="V30" s="58"/>
      <c r="AB30" s="45"/>
      <c r="AC30" s="45"/>
      <c r="AD30" s="45"/>
      <c r="AF30" s="45"/>
    </row>
    <row r="31" spans="1:32" ht="25.15" customHeight="1" x14ac:dyDescent="0.25">
      <c r="B31" s="19"/>
      <c r="F31" s="14"/>
      <c r="H31" s="57"/>
      <c r="I31" s="74"/>
      <c r="J31" s="57"/>
      <c r="K31" s="74"/>
      <c r="L31" s="57"/>
      <c r="M31" s="57"/>
      <c r="O31" s="57"/>
      <c r="P31" s="57"/>
      <c r="Q31" s="57"/>
      <c r="S31" s="57"/>
      <c r="T31" s="57"/>
      <c r="V31" s="58"/>
      <c r="AB31" s="45"/>
      <c r="AC31" s="45"/>
      <c r="AD31" s="45"/>
      <c r="AF31" s="45"/>
    </row>
    <row r="32" spans="1:32" ht="25.15" customHeight="1" x14ac:dyDescent="0.25">
      <c r="B32" s="19"/>
      <c r="F32" s="14"/>
      <c r="H32" s="57"/>
      <c r="I32" s="74"/>
      <c r="J32" s="57"/>
      <c r="K32" s="74"/>
      <c r="L32" s="57"/>
      <c r="M32" s="57"/>
      <c r="O32" s="57"/>
      <c r="P32" s="57"/>
      <c r="Q32" s="57"/>
      <c r="S32" s="57"/>
      <c r="T32" s="57"/>
      <c r="V32" s="58"/>
      <c r="AB32" s="45"/>
      <c r="AC32" s="45"/>
      <c r="AD32" s="45"/>
      <c r="AF32" s="45"/>
    </row>
    <row r="33" spans="1:32" ht="25.15" customHeight="1" x14ac:dyDescent="0.25">
      <c r="B33" s="19"/>
      <c r="F33" s="14"/>
      <c r="H33" s="57"/>
      <c r="I33" s="74"/>
      <c r="J33" s="57"/>
      <c r="K33" s="74"/>
      <c r="L33" s="57"/>
      <c r="M33" s="57"/>
      <c r="O33" s="57"/>
      <c r="P33" s="57"/>
      <c r="Q33" s="57"/>
      <c r="S33" s="57"/>
      <c r="T33" s="57"/>
      <c r="V33" s="58"/>
      <c r="AB33" s="45"/>
      <c r="AC33" s="45"/>
      <c r="AD33" s="45"/>
      <c r="AF33" s="45"/>
    </row>
    <row r="34" spans="1:32" ht="25.15" customHeight="1" x14ac:dyDescent="0.25">
      <c r="B34" s="19"/>
      <c r="F34" s="14"/>
      <c r="H34" s="57"/>
      <c r="I34" s="74"/>
      <c r="J34" s="57"/>
      <c r="K34" s="74"/>
      <c r="L34" s="57"/>
      <c r="M34" s="57"/>
      <c r="O34" s="57"/>
      <c r="P34" s="57"/>
      <c r="Q34" s="57"/>
      <c r="S34" s="57"/>
      <c r="T34" s="57"/>
      <c r="V34" s="58"/>
      <c r="AB34" s="45"/>
      <c r="AC34" s="45"/>
      <c r="AD34" s="45"/>
      <c r="AF34" s="45"/>
    </row>
    <row r="35" spans="1:32" ht="25.15" customHeight="1" x14ac:dyDescent="0.25">
      <c r="B35" s="19"/>
      <c r="F35" s="14"/>
      <c r="H35" s="57"/>
      <c r="I35" s="74"/>
      <c r="J35" s="57"/>
      <c r="K35" s="74"/>
      <c r="L35" s="57"/>
      <c r="M35" s="57"/>
      <c r="O35" s="57"/>
      <c r="P35" s="57"/>
      <c r="Q35" s="57"/>
      <c r="S35" s="57"/>
      <c r="T35" s="57"/>
      <c r="V35" s="58"/>
      <c r="AB35" s="45"/>
      <c r="AC35" s="45"/>
      <c r="AD35" s="45"/>
      <c r="AF35" s="45"/>
    </row>
    <row r="36" spans="1:32" ht="25.15" customHeight="1" x14ac:dyDescent="0.25">
      <c r="B36" s="19"/>
      <c r="F36" s="14"/>
      <c r="H36" s="57"/>
      <c r="I36" s="74"/>
      <c r="J36" s="57"/>
      <c r="K36" s="74"/>
      <c r="L36" s="57"/>
      <c r="M36" s="57"/>
      <c r="O36" s="57"/>
      <c r="P36" s="57"/>
      <c r="Q36" s="57"/>
      <c r="S36" s="57"/>
      <c r="T36" s="57"/>
      <c r="V36" s="58"/>
      <c r="AB36" s="45"/>
      <c r="AC36" s="45"/>
      <c r="AD36" s="45"/>
      <c r="AF36" s="45"/>
    </row>
    <row r="37" spans="1:32" ht="25.15" customHeight="1" x14ac:dyDescent="0.25">
      <c r="B37" s="19"/>
      <c r="F37" s="14"/>
      <c r="H37" s="57"/>
      <c r="I37" s="74"/>
      <c r="J37" s="57"/>
      <c r="K37" s="74"/>
      <c r="L37" s="57"/>
      <c r="M37" s="57"/>
      <c r="O37" s="57"/>
      <c r="P37" s="57"/>
      <c r="Q37" s="57"/>
      <c r="S37" s="57"/>
      <c r="T37" s="57"/>
      <c r="V37" s="58"/>
      <c r="AB37" s="45"/>
      <c r="AC37" s="45"/>
      <c r="AD37" s="45"/>
      <c r="AF37" s="45"/>
    </row>
    <row r="38" spans="1:32" ht="25.15" customHeight="1" x14ac:dyDescent="0.25">
      <c r="B38" s="19"/>
      <c r="F38" s="14"/>
      <c r="H38" s="57"/>
      <c r="I38" s="74"/>
      <c r="J38" s="57"/>
      <c r="K38" s="74"/>
      <c r="L38" s="57"/>
      <c r="M38" s="57"/>
      <c r="O38" s="57"/>
      <c r="P38" s="57"/>
      <c r="Q38" s="57"/>
      <c r="S38" s="57"/>
      <c r="T38" s="57"/>
      <c r="V38" s="58"/>
      <c r="AB38" s="45"/>
      <c r="AC38" s="45"/>
      <c r="AD38" s="45"/>
      <c r="AF38" s="45"/>
    </row>
    <row r="39" spans="1:32" ht="25.15" customHeight="1" x14ac:dyDescent="0.25">
      <c r="B39" s="19"/>
      <c r="F39" s="14"/>
      <c r="H39" s="57"/>
      <c r="I39" s="74"/>
      <c r="J39" s="57"/>
      <c r="K39" s="74"/>
      <c r="L39" s="57"/>
      <c r="M39" s="57"/>
      <c r="O39" s="57"/>
      <c r="P39" s="57"/>
      <c r="Q39" s="57"/>
      <c r="S39" s="57"/>
      <c r="T39" s="57"/>
      <c r="V39" s="58"/>
      <c r="AB39" s="45"/>
      <c r="AC39" s="45"/>
      <c r="AD39" s="45"/>
      <c r="AF39" s="45"/>
    </row>
    <row r="40" spans="1:32" ht="25.15" customHeight="1" x14ac:dyDescent="0.25">
      <c r="B40" s="19"/>
      <c r="F40" s="14"/>
      <c r="H40" s="57"/>
      <c r="I40" s="74"/>
      <c r="J40" s="57"/>
      <c r="K40" s="74"/>
      <c r="L40" s="57"/>
      <c r="M40" s="57"/>
      <c r="O40" s="57"/>
      <c r="P40" s="57"/>
      <c r="Q40" s="57"/>
      <c r="S40" s="57"/>
      <c r="T40" s="57"/>
      <c r="V40" s="58"/>
      <c r="AB40" s="45"/>
      <c r="AC40" s="45"/>
      <c r="AD40" s="45"/>
      <c r="AF40" s="45"/>
    </row>
    <row r="41" spans="1:32" ht="25.15" customHeight="1" x14ac:dyDescent="0.25">
      <c r="B41" s="19"/>
      <c r="F41" s="14"/>
      <c r="H41" s="57"/>
      <c r="I41" s="74"/>
      <c r="J41" s="57"/>
      <c r="K41" s="74"/>
      <c r="L41" s="57"/>
      <c r="M41" s="57"/>
      <c r="O41" s="57"/>
      <c r="P41" s="57"/>
      <c r="Q41" s="57"/>
      <c r="S41" s="57"/>
      <c r="T41" s="57"/>
      <c r="V41" s="58"/>
      <c r="AB41" s="45"/>
      <c r="AC41" s="45"/>
      <c r="AD41" s="45"/>
      <c r="AF41" s="45"/>
    </row>
    <row r="42" spans="1:32" ht="25.15" customHeight="1" x14ac:dyDescent="0.25">
      <c r="B42" s="19"/>
      <c r="F42" s="14"/>
      <c r="H42" s="57"/>
      <c r="I42" s="74"/>
      <c r="J42" s="57"/>
      <c r="K42" s="74"/>
      <c r="L42" s="57"/>
      <c r="M42" s="57"/>
      <c r="O42" s="57"/>
      <c r="P42" s="57"/>
      <c r="Q42" s="57"/>
      <c r="S42" s="57"/>
      <c r="T42" s="57"/>
      <c r="V42" s="58"/>
      <c r="AB42" s="45"/>
      <c r="AC42" s="45"/>
      <c r="AD42" s="45"/>
      <c r="AF42" s="45"/>
    </row>
    <row r="43" spans="1:32" s="172" customFormat="1" ht="25.15" customHeight="1" x14ac:dyDescent="0.25">
      <c r="A43" s="153">
        <v>9</v>
      </c>
      <c r="B43" s="154" t="s">
        <v>70</v>
      </c>
      <c r="C43" s="155" t="s">
        <v>67</v>
      </c>
      <c r="D43" s="156" t="s">
        <v>30</v>
      </c>
      <c r="E43" s="157">
        <v>6</v>
      </c>
      <c r="F43" s="158" t="s">
        <v>26</v>
      </c>
      <c r="G43" s="159">
        <v>0</v>
      </c>
      <c r="H43" s="160">
        <v>191</v>
      </c>
      <c r="I43" s="161" t="s">
        <v>20</v>
      </c>
      <c r="J43" s="162">
        <v>191</v>
      </c>
      <c r="K43" s="161" t="s">
        <v>20</v>
      </c>
      <c r="L43" s="163">
        <v>10</v>
      </c>
      <c r="M43" s="162"/>
      <c r="N43" s="164" t="s">
        <v>57</v>
      </c>
      <c r="O43" s="165">
        <f>H43+0.5</f>
        <v>191.5</v>
      </c>
      <c r="P43" s="166">
        <f>J43+0.5</f>
        <v>191.5</v>
      </c>
      <c r="Q43" s="166">
        <f>L43+0.5</f>
        <v>10.5</v>
      </c>
      <c r="R43" s="167">
        <f>E43+G43</f>
        <v>6</v>
      </c>
      <c r="S43" s="166">
        <f>SUM(O43*P43*Q43)*W43/1000000</f>
        <v>3.2190901049999998</v>
      </c>
      <c r="T43" s="166">
        <f>SUM(R43*S43)</f>
        <v>19.31454063</v>
      </c>
      <c r="U43" s="168">
        <v>5500</v>
      </c>
      <c r="V43" s="169">
        <f>SUM(T43*U43)</f>
        <v>106229.973465</v>
      </c>
      <c r="W43" s="170">
        <v>8.36</v>
      </c>
      <c r="X43" s="171" t="s">
        <v>68</v>
      </c>
    </row>
    <row r="44" spans="1:32" s="172" customFormat="1" ht="25.15" customHeight="1" x14ac:dyDescent="0.25">
      <c r="A44" s="153">
        <v>9</v>
      </c>
      <c r="B44" s="154" t="s">
        <v>70</v>
      </c>
      <c r="C44" s="155" t="s">
        <v>67</v>
      </c>
      <c r="D44" s="156" t="s">
        <v>30</v>
      </c>
      <c r="E44" s="157">
        <v>6</v>
      </c>
      <c r="F44" s="158" t="s">
        <v>26</v>
      </c>
      <c r="G44" s="159">
        <v>0</v>
      </c>
      <c r="H44" s="160">
        <v>195</v>
      </c>
      <c r="I44" s="161" t="s">
        <v>20</v>
      </c>
      <c r="J44" s="162">
        <v>170</v>
      </c>
      <c r="K44" s="161" t="s">
        <v>20</v>
      </c>
      <c r="L44" s="163">
        <v>10</v>
      </c>
      <c r="M44" s="162"/>
      <c r="N44" s="164" t="s">
        <v>57</v>
      </c>
      <c r="O44" s="165">
        <f>H44+0.5</f>
        <v>195.5</v>
      </c>
      <c r="P44" s="166">
        <f>J44+0.5</f>
        <v>170.5</v>
      </c>
      <c r="Q44" s="166">
        <f>L44+0.5</f>
        <v>10.5</v>
      </c>
      <c r="R44" s="167">
        <f>E44+G44</f>
        <v>6</v>
      </c>
      <c r="S44" s="166">
        <f>SUM(O44*P44*Q44)*W44/1000000</f>
        <v>2.925948795</v>
      </c>
      <c r="T44" s="166">
        <f>SUM(R44*S44)</f>
        <v>17.55569277</v>
      </c>
      <c r="U44" s="168">
        <v>5500</v>
      </c>
      <c r="V44" s="169">
        <f>SUM(T44*U44)</f>
        <v>96556.310234999997</v>
      </c>
      <c r="W44" s="170">
        <v>8.36</v>
      </c>
      <c r="X44" s="171" t="s">
        <v>68</v>
      </c>
    </row>
    <row r="45" spans="1:32" s="172" customFormat="1" ht="25.15" customHeight="1" x14ac:dyDescent="0.25">
      <c r="A45" s="153">
        <v>9</v>
      </c>
      <c r="B45" s="154" t="s">
        <v>70</v>
      </c>
      <c r="C45" s="155" t="s">
        <v>67</v>
      </c>
      <c r="D45" s="156" t="s">
        <v>30</v>
      </c>
      <c r="E45" s="157">
        <v>12</v>
      </c>
      <c r="F45" s="158" t="s">
        <v>26</v>
      </c>
      <c r="G45" s="159">
        <v>0</v>
      </c>
      <c r="H45" s="160">
        <v>160</v>
      </c>
      <c r="I45" s="161" t="s">
        <v>20</v>
      </c>
      <c r="J45" s="162">
        <v>90</v>
      </c>
      <c r="K45" s="161" t="s">
        <v>20</v>
      </c>
      <c r="L45" s="163">
        <v>10</v>
      </c>
      <c r="M45" s="162"/>
      <c r="N45" s="164" t="s">
        <v>57</v>
      </c>
      <c r="O45" s="165">
        <f>H45+0.5</f>
        <v>160.5</v>
      </c>
      <c r="P45" s="166">
        <f>J45+0.5</f>
        <v>90.5</v>
      </c>
      <c r="Q45" s="166">
        <f>L45+0.5</f>
        <v>10.5</v>
      </c>
      <c r="R45" s="167">
        <f>E45+G45</f>
        <v>12</v>
      </c>
      <c r="S45" s="166">
        <f>SUM(O45*P45*Q45)*W45/1000000</f>
        <v>1.2750264449999997</v>
      </c>
      <c r="T45" s="166">
        <f>SUM(R45*S45)</f>
        <v>15.300317339999996</v>
      </c>
      <c r="U45" s="168">
        <v>5500</v>
      </c>
      <c r="V45" s="169">
        <f>SUM(T45*U45)</f>
        <v>84151.745369999975</v>
      </c>
      <c r="W45" s="170">
        <v>8.36</v>
      </c>
      <c r="X45" s="171" t="s">
        <v>68</v>
      </c>
    </row>
    <row r="46" spans="1:32" ht="25.9" customHeight="1" x14ac:dyDescent="0.25">
      <c r="B46" s="19"/>
      <c r="F46" s="14"/>
      <c r="H46" s="57"/>
      <c r="I46" s="74"/>
      <c r="J46" s="57"/>
      <c r="K46" s="74"/>
      <c r="L46" s="57"/>
      <c r="M46" s="57"/>
      <c r="O46" s="57"/>
      <c r="P46" s="57"/>
      <c r="Q46" s="57"/>
      <c r="S46" s="57"/>
      <c r="T46" s="57"/>
      <c r="V46" s="58"/>
      <c r="AB46" s="45"/>
      <c r="AC46" s="45"/>
      <c r="AD46" s="45"/>
      <c r="AF46" s="45"/>
    </row>
    <row r="47" spans="1:32" ht="25.15" customHeight="1" x14ac:dyDescent="0.25">
      <c r="B47" s="19"/>
      <c r="F47" s="14"/>
      <c r="H47" s="59"/>
      <c r="I47" s="75"/>
      <c r="J47" s="57"/>
      <c r="K47" s="74"/>
      <c r="L47" s="57"/>
      <c r="M47" s="57"/>
      <c r="O47" s="57"/>
      <c r="P47" s="57"/>
      <c r="Q47" s="57"/>
      <c r="S47" s="59"/>
      <c r="T47" s="57"/>
      <c r="V47" s="58"/>
      <c r="AB47" s="45"/>
      <c r="AC47" s="45"/>
      <c r="AD47" s="45"/>
      <c r="AF47" s="45"/>
    </row>
    <row r="48" spans="1:32" ht="25.15" customHeight="1" x14ac:dyDescent="0.25">
      <c r="B48" s="19"/>
      <c r="F48" s="14"/>
      <c r="H48" s="57"/>
      <c r="I48" s="74"/>
      <c r="J48" s="57"/>
      <c r="K48" s="74"/>
      <c r="L48" s="57"/>
      <c r="M48" s="57"/>
      <c r="O48" s="57"/>
      <c r="P48" s="57"/>
      <c r="Q48" s="57"/>
      <c r="S48" s="57"/>
      <c r="T48" s="57"/>
      <c r="V48" s="58"/>
      <c r="AB48" s="45"/>
      <c r="AC48" s="45"/>
      <c r="AD48" s="45"/>
    </row>
    <row r="49" spans="1:32" ht="25.15" customHeight="1" x14ac:dyDescent="0.25">
      <c r="B49" s="19"/>
      <c r="F49" s="14"/>
      <c r="H49" s="57"/>
      <c r="I49" s="74"/>
      <c r="J49" s="57"/>
      <c r="K49" s="74"/>
      <c r="L49" s="57"/>
      <c r="M49" s="57"/>
      <c r="O49" s="57"/>
      <c r="P49" s="57"/>
      <c r="Q49" s="57"/>
      <c r="S49" s="57"/>
      <c r="T49" s="57"/>
      <c r="V49" s="58"/>
      <c r="AB49" s="45"/>
      <c r="AC49" s="45"/>
      <c r="AD49" s="45"/>
    </row>
    <row r="50" spans="1:32" ht="25.15" customHeight="1" x14ac:dyDescent="0.25">
      <c r="B50" s="19"/>
      <c r="F50" s="14"/>
      <c r="H50" s="57"/>
      <c r="I50" s="74"/>
      <c r="J50" s="57"/>
      <c r="K50" s="74"/>
      <c r="L50" s="57"/>
      <c r="M50" s="57"/>
      <c r="O50" s="57"/>
      <c r="P50" s="57"/>
      <c r="Q50" s="57"/>
      <c r="S50" s="57"/>
      <c r="T50" s="57"/>
      <c r="V50" s="58"/>
      <c r="AB50" s="45"/>
      <c r="AC50" s="45"/>
      <c r="AD50" s="45"/>
    </row>
    <row r="51" spans="1:32" ht="25.15" customHeight="1" x14ac:dyDescent="0.25">
      <c r="B51" s="19"/>
      <c r="F51" s="14"/>
      <c r="H51" s="57"/>
      <c r="I51" s="74"/>
      <c r="J51" s="57"/>
      <c r="K51" s="74"/>
      <c r="L51" s="57"/>
      <c r="M51" s="57"/>
      <c r="O51" s="57"/>
      <c r="P51" s="57"/>
      <c r="Q51" s="57"/>
      <c r="S51" s="57"/>
      <c r="T51" s="57"/>
      <c r="V51" s="58"/>
      <c r="AB51" s="45"/>
      <c r="AC51" s="45"/>
      <c r="AD51" s="45"/>
    </row>
    <row r="52" spans="1:32" ht="25.15" customHeight="1" x14ac:dyDescent="0.25">
      <c r="B52" s="19"/>
      <c r="F52" s="14"/>
      <c r="H52" s="57"/>
      <c r="I52" s="74"/>
      <c r="J52" s="57"/>
      <c r="K52" s="74"/>
      <c r="L52" s="57"/>
      <c r="M52" s="57"/>
      <c r="O52" s="57"/>
      <c r="P52" s="57"/>
      <c r="Q52" s="57"/>
      <c r="S52" s="57"/>
      <c r="T52" s="57"/>
      <c r="V52" s="58"/>
      <c r="AB52" s="45"/>
      <c r="AC52" s="45"/>
      <c r="AD52" s="45"/>
    </row>
    <row r="53" spans="1:32" ht="25.15" customHeight="1" x14ac:dyDescent="0.25">
      <c r="B53" s="19"/>
      <c r="F53" s="14"/>
      <c r="H53" s="57"/>
      <c r="I53" s="74"/>
      <c r="J53" s="57"/>
      <c r="K53" s="74"/>
      <c r="L53" s="57"/>
      <c r="M53" s="57"/>
      <c r="N53" s="60"/>
      <c r="O53" s="57"/>
      <c r="P53" s="57"/>
      <c r="Q53" s="57"/>
      <c r="S53" s="57"/>
      <c r="T53" s="57"/>
      <c r="V53" s="58"/>
    </row>
    <row r="54" spans="1:32" ht="25.15" customHeight="1" x14ac:dyDescent="0.25">
      <c r="B54" s="19"/>
      <c r="F54" s="14"/>
      <c r="H54" s="59"/>
      <c r="I54" s="75"/>
      <c r="J54" s="57"/>
      <c r="K54" s="74"/>
      <c r="L54" s="57"/>
      <c r="M54" s="57"/>
      <c r="O54" s="57"/>
      <c r="P54" s="57"/>
      <c r="Q54" s="57"/>
      <c r="S54" s="59"/>
      <c r="T54" s="57"/>
      <c r="V54" s="58"/>
    </row>
    <row r="55" spans="1:32" ht="25.15" customHeight="1" x14ac:dyDescent="0.25">
      <c r="B55" s="19"/>
      <c r="F55" s="14"/>
      <c r="H55" s="57"/>
      <c r="I55" s="74"/>
      <c r="J55" s="57"/>
      <c r="K55" s="74"/>
      <c r="L55" s="57"/>
      <c r="M55" s="57"/>
      <c r="O55" s="57"/>
      <c r="P55" s="57"/>
      <c r="Q55" s="57"/>
      <c r="S55" s="57"/>
      <c r="T55" s="57"/>
      <c r="V55" s="58"/>
      <c r="AB55" s="45"/>
      <c r="AF55" s="45"/>
    </row>
    <row r="56" spans="1:32" ht="25.15" customHeight="1" x14ac:dyDescent="0.25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56"/>
      <c r="P56" s="356"/>
      <c r="Q56" s="356"/>
      <c r="R56" s="356"/>
      <c r="S56" s="356"/>
      <c r="T56" s="356"/>
      <c r="U56" s="356"/>
      <c r="V56" s="56"/>
    </row>
    <row r="57" spans="1:32" ht="25.15" customHeight="1" x14ac:dyDescent="0.25">
      <c r="A57" s="11"/>
      <c r="C57" s="11"/>
      <c r="D57" s="11"/>
      <c r="E57" s="11"/>
      <c r="F57" s="11"/>
      <c r="G57" s="11"/>
      <c r="H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32" ht="25.15" customHeight="1" x14ac:dyDescent="0.25"/>
    <row r="59" spans="1:32" x14ac:dyDescent="0.25">
      <c r="B59" s="10"/>
      <c r="S59" s="11"/>
      <c r="T59" s="11"/>
      <c r="U59" s="11"/>
      <c r="V59" s="11"/>
    </row>
  </sheetData>
  <mergeCells count="12">
    <mergeCell ref="A1:N1"/>
    <mergeCell ref="A2:N2"/>
    <mergeCell ref="A3:N3"/>
    <mergeCell ref="A4:N4"/>
    <mergeCell ref="E5:G5"/>
    <mergeCell ref="H5:L5"/>
    <mergeCell ref="A18:N18"/>
    <mergeCell ref="O18:U18"/>
    <mergeCell ref="A19:B19"/>
    <mergeCell ref="O19:U19"/>
    <mergeCell ref="A56:N56"/>
    <mergeCell ref="O56:U56"/>
  </mergeCells>
  <dataValidations count="2">
    <dataValidation type="list" errorStyle="information" allowBlank="1" showErrorMessage="1" sqref="C43:C45 C6:C17">
      <formula1>MATERIAL</formula1>
    </dataValidation>
    <dataValidation type="list" errorStyle="information" allowBlank="1" showErrorMessage="1" sqref="D43:D45 D6:D17">
      <formula1>GRADE</formula1>
    </dataValidation>
  </dataValidations>
  <pageMargins left="0.7" right="0.7" top="0.75" bottom="0.75" header="0.3" footer="0.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opLeftCell="A34" zoomScaleNormal="100" workbookViewId="0">
      <selection activeCell="G50" sqref="G50"/>
    </sheetView>
  </sheetViews>
  <sheetFormatPr defaultColWidth="8.85546875" defaultRowHeight="15" x14ac:dyDescent="0.25"/>
  <cols>
    <col min="1" max="1" width="4.7109375" style="97" customWidth="1"/>
    <col min="2" max="2" width="40.42578125" style="98" customWidth="1"/>
    <col min="3" max="3" width="11.42578125" style="97" customWidth="1"/>
    <col min="4" max="4" width="4.28515625" style="97" customWidth="1"/>
    <col min="5" max="5" width="1.7109375" style="97" customWidth="1"/>
    <col min="6" max="6" width="3" style="97" bestFit="1" customWidth="1"/>
    <col min="7" max="7" width="22" style="232" customWidth="1"/>
    <col min="8" max="8" width="11.7109375" style="232" bestFit="1" customWidth="1"/>
    <col min="9" max="9" width="32.5703125" style="97" bestFit="1" customWidth="1"/>
    <col min="10" max="10" width="7.28515625" style="97" customWidth="1"/>
    <col min="11" max="11" width="9.28515625" style="173" customWidth="1"/>
    <col min="12" max="12" width="12.5703125" style="173" customWidth="1"/>
    <col min="13" max="16384" width="8.85546875" style="98"/>
  </cols>
  <sheetData>
    <row r="1" spans="1:12" ht="25.15" customHeight="1" thickTop="1" x14ac:dyDescent="0.25">
      <c r="A1" s="361" t="s">
        <v>0</v>
      </c>
      <c r="B1" s="362"/>
      <c r="C1" s="362"/>
      <c r="D1" s="362"/>
      <c r="E1" s="362"/>
      <c r="F1" s="362"/>
      <c r="G1" s="362"/>
      <c r="H1" s="363"/>
      <c r="I1" s="364"/>
    </row>
    <row r="2" spans="1:12" ht="25.15" customHeight="1" x14ac:dyDescent="0.25">
      <c r="A2" s="365" t="s">
        <v>116</v>
      </c>
      <c r="B2" s="366"/>
      <c r="C2" s="366"/>
      <c r="D2" s="366"/>
      <c r="E2" s="366"/>
      <c r="F2" s="366"/>
      <c r="G2" s="366"/>
      <c r="H2" s="367"/>
      <c r="I2" s="368"/>
    </row>
    <row r="3" spans="1:12" ht="25.15" customHeight="1" x14ac:dyDescent="0.35">
      <c r="A3" s="414" t="s">
        <v>290</v>
      </c>
      <c r="B3" s="415"/>
      <c r="C3" s="415"/>
      <c r="D3" s="415"/>
      <c r="E3" s="415"/>
      <c r="F3" s="415"/>
      <c r="G3" s="415"/>
      <c r="H3" s="416"/>
      <c r="I3" s="417"/>
      <c r="K3" s="173" t="s">
        <v>117</v>
      </c>
    </row>
    <row r="4" spans="1:12" ht="25.15" customHeight="1" thickBot="1" x14ac:dyDescent="0.45">
      <c r="A4" s="400" t="s">
        <v>118</v>
      </c>
      <c r="B4" s="401"/>
      <c r="C4" s="401"/>
      <c r="D4" s="401"/>
      <c r="E4" s="401"/>
      <c r="F4" s="401"/>
      <c r="G4" s="401"/>
      <c r="H4" s="402"/>
      <c r="I4" s="403"/>
    </row>
    <row r="5" spans="1:12" ht="25.15" customHeight="1" thickTop="1" x14ac:dyDescent="0.25">
      <c r="A5" s="174" t="s">
        <v>1</v>
      </c>
      <c r="B5" s="188" t="s">
        <v>2</v>
      </c>
      <c r="C5" s="175" t="s">
        <v>119</v>
      </c>
      <c r="D5" s="418" t="s">
        <v>18</v>
      </c>
      <c r="E5" s="419"/>
      <c r="F5" s="420"/>
      <c r="G5" s="224" t="s">
        <v>120</v>
      </c>
      <c r="H5" s="225" t="s">
        <v>121</v>
      </c>
      <c r="I5" s="176" t="s">
        <v>5</v>
      </c>
      <c r="J5" s="174" t="s">
        <v>9</v>
      </c>
      <c r="K5" s="177" t="s">
        <v>11</v>
      </c>
      <c r="L5" s="178" t="s">
        <v>12</v>
      </c>
    </row>
    <row r="6" spans="1:12" s="11" customFormat="1" ht="25.15" customHeight="1" x14ac:dyDescent="0.25">
      <c r="A6" s="259">
        <v>1</v>
      </c>
      <c r="B6" s="260" t="s">
        <v>122</v>
      </c>
      <c r="C6" s="261" t="s">
        <v>123</v>
      </c>
      <c r="D6" s="262">
        <v>120</v>
      </c>
      <c r="E6" s="220" t="s">
        <v>26</v>
      </c>
      <c r="F6" s="263">
        <v>20</v>
      </c>
      <c r="G6" s="264" t="s">
        <v>124</v>
      </c>
      <c r="H6" s="265" t="s">
        <v>125</v>
      </c>
      <c r="I6" s="266" t="s">
        <v>257</v>
      </c>
      <c r="J6" s="80">
        <f>F6+D6</f>
        <v>140</v>
      </c>
      <c r="K6" s="40">
        <v>70</v>
      </c>
      <c r="L6" s="219">
        <f t="shared" ref="L6:L7" si="0">J6*K6</f>
        <v>9800</v>
      </c>
    </row>
    <row r="7" spans="1:12" s="11" customFormat="1" ht="25.15" customHeight="1" x14ac:dyDescent="0.25">
      <c r="A7" s="259">
        <v>2</v>
      </c>
      <c r="B7" s="260" t="s">
        <v>126</v>
      </c>
      <c r="C7" s="261" t="s">
        <v>123</v>
      </c>
      <c r="D7" s="262">
        <v>20</v>
      </c>
      <c r="E7" s="220" t="s">
        <v>26</v>
      </c>
      <c r="F7" s="263">
        <v>5</v>
      </c>
      <c r="G7" s="264" t="s">
        <v>127</v>
      </c>
      <c r="H7" s="265" t="s">
        <v>125</v>
      </c>
      <c r="I7" s="266" t="s">
        <v>257</v>
      </c>
      <c r="J7" s="80">
        <f>F7+D7</f>
        <v>25</v>
      </c>
      <c r="K7" s="40">
        <v>70</v>
      </c>
      <c r="L7" s="219">
        <f t="shared" si="0"/>
        <v>1750</v>
      </c>
    </row>
    <row r="8" spans="1:12" s="11" customFormat="1" ht="25.15" customHeight="1" x14ac:dyDescent="0.25">
      <c r="A8" s="259">
        <v>3</v>
      </c>
      <c r="B8" s="260" t="s">
        <v>126</v>
      </c>
      <c r="C8" s="261" t="s">
        <v>123</v>
      </c>
      <c r="D8" s="262">
        <v>4</v>
      </c>
      <c r="E8" s="220" t="s">
        <v>26</v>
      </c>
      <c r="F8" s="263">
        <v>6</v>
      </c>
      <c r="G8" s="264" t="s">
        <v>293</v>
      </c>
      <c r="H8" s="265" t="s">
        <v>125</v>
      </c>
      <c r="I8" s="266" t="s">
        <v>192</v>
      </c>
      <c r="J8" s="80">
        <f>F8+D8</f>
        <v>10</v>
      </c>
      <c r="K8" s="40">
        <v>70</v>
      </c>
      <c r="L8" s="219">
        <f t="shared" ref="L8" si="1">J8*K8</f>
        <v>700</v>
      </c>
    </row>
    <row r="9" spans="1:12" s="102" customFormat="1" ht="25.15" customHeight="1" x14ac:dyDescent="0.25">
      <c r="A9" s="259">
        <v>4</v>
      </c>
      <c r="B9" s="197" t="s">
        <v>291</v>
      </c>
      <c r="C9" s="194" t="s">
        <v>123</v>
      </c>
      <c r="D9" s="198">
        <v>5</v>
      </c>
      <c r="E9" s="199"/>
      <c r="F9" s="200"/>
      <c r="G9" s="194" t="s">
        <v>128</v>
      </c>
      <c r="H9" s="198" t="s">
        <v>125</v>
      </c>
      <c r="I9" s="267" t="s">
        <v>129</v>
      </c>
      <c r="J9" s="103">
        <f t="shared" ref="J9:J19" si="2">F9+D9</f>
        <v>5</v>
      </c>
      <c r="K9" s="86">
        <v>55</v>
      </c>
      <c r="L9" s="192">
        <f>J9*K9</f>
        <v>275</v>
      </c>
    </row>
    <row r="10" spans="1:12" s="102" customFormat="1" ht="25.15" customHeight="1" x14ac:dyDescent="0.25">
      <c r="A10" s="259">
        <v>5</v>
      </c>
      <c r="B10" s="197" t="s">
        <v>291</v>
      </c>
      <c r="C10" s="194" t="s">
        <v>123</v>
      </c>
      <c r="D10" s="198">
        <v>32</v>
      </c>
      <c r="E10" s="199" t="s">
        <v>26</v>
      </c>
      <c r="F10" s="200">
        <v>20</v>
      </c>
      <c r="G10" s="194" t="s">
        <v>292</v>
      </c>
      <c r="H10" s="198" t="s">
        <v>125</v>
      </c>
      <c r="I10" s="267" t="s">
        <v>135</v>
      </c>
      <c r="J10" s="103">
        <f t="shared" ref="J10" si="3">F10+D10</f>
        <v>52</v>
      </c>
      <c r="K10" s="86">
        <v>55</v>
      </c>
      <c r="L10" s="192">
        <f>J10*K10</f>
        <v>2860</v>
      </c>
    </row>
    <row r="11" spans="1:12" s="102" customFormat="1" ht="25.15" customHeight="1" x14ac:dyDescent="0.25">
      <c r="A11" s="259">
        <v>6</v>
      </c>
      <c r="B11" s="193" t="s">
        <v>130</v>
      </c>
      <c r="C11" s="194" t="s">
        <v>123</v>
      </c>
      <c r="D11" s="198">
        <v>8</v>
      </c>
      <c r="E11" s="199" t="s">
        <v>26</v>
      </c>
      <c r="F11" s="200">
        <v>4</v>
      </c>
      <c r="G11" s="194" t="s">
        <v>131</v>
      </c>
      <c r="H11" s="202" t="s">
        <v>125</v>
      </c>
      <c r="I11" s="195" t="s">
        <v>132</v>
      </c>
      <c r="J11" s="103">
        <f t="shared" ref="J11" si="4">F11+D11</f>
        <v>12</v>
      </c>
      <c r="K11" s="86">
        <v>72</v>
      </c>
      <c r="L11" s="192">
        <f t="shared" ref="L11" si="5">J11*K11</f>
        <v>864</v>
      </c>
    </row>
    <row r="12" spans="1:12" s="102" customFormat="1" ht="25.15" customHeight="1" x14ac:dyDescent="0.25">
      <c r="A12" s="259">
        <v>7</v>
      </c>
      <c r="B12" s="197" t="s">
        <v>133</v>
      </c>
      <c r="C12" s="194" t="s">
        <v>123</v>
      </c>
      <c r="D12" s="198">
        <v>16</v>
      </c>
      <c r="E12" s="199" t="s">
        <v>26</v>
      </c>
      <c r="F12" s="200">
        <v>5</v>
      </c>
      <c r="G12" s="194" t="s">
        <v>251</v>
      </c>
      <c r="H12" s="202" t="s">
        <v>134</v>
      </c>
      <c r="I12" s="267" t="s">
        <v>135</v>
      </c>
      <c r="J12" s="103">
        <f t="shared" si="2"/>
        <v>21</v>
      </c>
      <c r="K12" s="86">
        <v>30</v>
      </c>
      <c r="L12" s="192">
        <f t="shared" ref="L12:L19" si="6">J12*K12</f>
        <v>630</v>
      </c>
    </row>
    <row r="13" spans="1:12" s="102" customFormat="1" ht="25.15" customHeight="1" x14ac:dyDescent="0.25">
      <c r="A13" s="259">
        <v>8</v>
      </c>
      <c r="B13" s="197" t="s">
        <v>136</v>
      </c>
      <c r="C13" s="194" t="s">
        <v>123</v>
      </c>
      <c r="D13" s="198">
        <v>16</v>
      </c>
      <c r="E13" s="199" t="s">
        <v>26</v>
      </c>
      <c r="F13" s="200">
        <v>5</v>
      </c>
      <c r="G13" s="194" t="s">
        <v>252</v>
      </c>
      <c r="H13" s="202" t="s">
        <v>134</v>
      </c>
      <c r="I13" s="267" t="s">
        <v>137</v>
      </c>
      <c r="J13" s="103">
        <f t="shared" si="2"/>
        <v>21</v>
      </c>
      <c r="K13" s="86">
        <v>50</v>
      </c>
      <c r="L13" s="192">
        <f t="shared" si="6"/>
        <v>1050</v>
      </c>
    </row>
    <row r="14" spans="1:12" s="102" customFormat="1" ht="25.15" customHeight="1" x14ac:dyDescent="0.25">
      <c r="A14" s="259">
        <v>9</v>
      </c>
      <c r="B14" s="197" t="s">
        <v>138</v>
      </c>
      <c r="C14" s="194" t="s">
        <v>123</v>
      </c>
      <c r="D14" s="198">
        <v>16</v>
      </c>
      <c r="E14" s="199" t="s">
        <v>26</v>
      </c>
      <c r="F14" s="200">
        <v>5</v>
      </c>
      <c r="G14" s="194" t="s">
        <v>269</v>
      </c>
      <c r="H14" s="202" t="s">
        <v>134</v>
      </c>
      <c r="I14" s="267" t="s">
        <v>139</v>
      </c>
      <c r="J14" s="103">
        <f t="shared" si="2"/>
        <v>21</v>
      </c>
      <c r="K14" s="86">
        <v>50</v>
      </c>
      <c r="L14" s="192">
        <f t="shared" si="6"/>
        <v>1050</v>
      </c>
    </row>
    <row r="15" spans="1:12" s="102" customFormat="1" ht="25.15" customHeight="1" x14ac:dyDescent="0.25">
      <c r="A15" s="259">
        <v>10</v>
      </c>
      <c r="B15" s="197" t="s">
        <v>141</v>
      </c>
      <c r="C15" s="194" t="s">
        <v>123</v>
      </c>
      <c r="D15" s="198">
        <v>16</v>
      </c>
      <c r="E15" s="199" t="s">
        <v>26</v>
      </c>
      <c r="F15" s="200">
        <v>5</v>
      </c>
      <c r="G15" s="194" t="s">
        <v>253</v>
      </c>
      <c r="H15" s="202" t="s">
        <v>134</v>
      </c>
      <c r="I15" s="267" t="s">
        <v>139</v>
      </c>
      <c r="J15" s="103">
        <f t="shared" ref="J15" si="7">F15+D15</f>
        <v>21</v>
      </c>
      <c r="K15" s="86">
        <v>30</v>
      </c>
      <c r="L15" s="192">
        <f t="shared" ref="L15" si="8">J15*K15</f>
        <v>630</v>
      </c>
    </row>
    <row r="16" spans="1:12" s="102" customFormat="1" ht="25.15" customHeight="1" x14ac:dyDescent="0.25">
      <c r="A16" s="259">
        <v>11</v>
      </c>
      <c r="B16" s="197" t="s">
        <v>259</v>
      </c>
      <c r="C16" s="194" t="s">
        <v>123</v>
      </c>
      <c r="D16" s="198">
        <v>16</v>
      </c>
      <c r="E16" s="199" t="s">
        <v>26</v>
      </c>
      <c r="F16" s="200">
        <v>5</v>
      </c>
      <c r="G16" s="194" t="s">
        <v>258</v>
      </c>
      <c r="H16" s="202" t="s">
        <v>134</v>
      </c>
      <c r="I16" s="267" t="s">
        <v>139</v>
      </c>
      <c r="J16" s="103">
        <f>F16+D16</f>
        <v>21</v>
      </c>
      <c r="K16" s="86">
        <v>30</v>
      </c>
      <c r="L16" s="192">
        <f>J16*K16</f>
        <v>630</v>
      </c>
    </row>
    <row r="17" spans="1:12" s="102" customFormat="1" ht="25.15" customHeight="1" x14ac:dyDescent="0.25">
      <c r="A17" s="259">
        <v>12</v>
      </c>
      <c r="B17" s="197" t="s">
        <v>140</v>
      </c>
      <c r="C17" s="194" t="s">
        <v>123</v>
      </c>
      <c r="D17" s="198">
        <v>16</v>
      </c>
      <c r="E17" s="199" t="s">
        <v>26</v>
      </c>
      <c r="F17" s="200">
        <v>5</v>
      </c>
      <c r="G17" s="194" t="s">
        <v>267</v>
      </c>
      <c r="H17" s="202" t="s">
        <v>134</v>
      </c>
      <c r="I17" s="267" t="s">
        <v>139</v>
      </c>
      <c r="J17" s="103">
        <f t="shared" ref="J17" si="9">F17+D17</f>
        <v>21</v>
      </c>
      <c r="K17" s="86">
        <v>50</v>
      </c>
      <c r="L17" s="192">
        <f t="shared" ref="L17" si="10">J17*K17</f>
        <v>1050</v>
      </c>
    </row>
    <row r="18" spans="1:12" s="102" customFormat="1" ht="25.15" customHeight="1" x14ac:dyDescent="0.25">
      <c r="A18" s="259">
        <v>13</v>
      </c>
      <c r="B18" s="197" t="s">
        <v>140</v>
      </c>
      <c r="C18" s="194" t="s">
        <v>123</v>
      </c>
      <c r="D18" s="198">
        <v>16</v>
      </c>
      <c r="E18" s="199" t="s">
        <v>26</v>
      </c>
      <c r="F18" s="200">
        <v>5</v>
      </c>
      <c r="G18" s="194" t="s">
        <v>297</v>
      </c>
      <c r="H18" s="202" t="s">
        <v>134</v>
      </c>
      <c r="I18" s="267" t="s">
        <v>139</v>
      </c>
      <c r="J18" s="103">
        <f t="shared" ref="J18" si="11">F18+D18</f>
        <v>21</v>
      </c>
      <c r="K18" s="86">
        <v>50</v>
      </c>
      <c r="L18" s="192">
        <f t="shared" ref="L18" si="12">J18*K18</f>
        <v>1050</v>
      </c>
    </row>
    <row r="19" spans="1:12" s="102" customFormat="1" ht="25.15" customHeight="1" x14ac:dyDescent="0.25">
      <c r="A19" s="259">
        <v>14</v>
      </c>
      <c r="B19" s="197" t="s">
        <v>268</v>
      </c>
      <c r="C19" s="194" t="s">
        <v>123</v>
      </c>
      <c r="D19" s="198">
        <v>24</v>
      </c>
      <c r="E19" s="199" t="s">
        <v>26</v>
      </c>
      <c r="F19" s="200">
        <v>3</v>
      </c>
      <c r="G19" s="194" t="s">
        <v>142</v>
      </c>
      <c r="H19" s="202" t="s">
        <v>134</v>
      </c>
      <c r="I19" s="267" t="s">
        <v>143</v>
      </c>
      <c r="J19" s="103">
        <f t="shared" si="2"/>
        <v>27</v>
      </c>
      <c r="K19" s="86">
        <v>50</v>
      </c>
      <c r="L19" s="192">
        <f t="shared" si="6"/>
        <v>1350</v>
      </c>
    </row>
    <row r="20" spans="1:12" s="102" customFormat="1" ht="25.15" customHeight="1" x14ac:dyDescent="0.25">
      <c r="A20" s="259">
        <v>15</v>
      </c>
      <c r="B20" s="197" t="s">
        <v>324</v>
      </c>
      <c r="C20" s="194" t="s">
        <v>123</v>
      </c>
      <c r="D20" s="198">
        <v>9</v>
      </c>
      <c r="E20" s="199" t="s">
        <v>26</v>
      </c>
      <c r="F20" s="200">
        <v>0</v>
      </c>
      <c r="G20" s="87" t="s">
        <v>325</v>
      </c>
      <c r="H20" s="202"/>
      <c r="I20" s="267" t="s">
        <v>326</v>
      </c>
      <c r="J20" s="103">
        <f t="shared" ref="J20" si="13">F20+D20</f>
        <v>9</v>
      </c>
      <c r="K20" s="86">
        <v>50</v>
      </c>
      <c r="L20" s="192">
        <f t="shared" ref="L20" si="14">J20*K20</f>
        <v>450</v>
      </c>
    </row>
    <row r="21" spans="1:12" s="102" customFormat="1" ht="25.15" customHeight="1" x14ac:dyDescent="0.25">
      <c r="A21" s="421" t="s">
        <v>327</v>
      </c>
      <c r="B21" s="422"/>
      <c r="C21" s="422"/>
      <c r="D21" s="422"/>
      <c r="E21" s="422"/>
      <c r="F21" s="422"/>
      <c r="G21" s="422"/>
      <c r="H21" s="422"/>
      <c r="I21" s="423"/>
      <c r="J21" s="412" t="s">
        <v>144</v>
      </c>
      <c r="K21" s="413"/>
      <c r="L21" s="192">
        <f>SUM(L6:L19)</f>
        <v>23689</v>
      </c>
    </row>
    <row r="22" spans="1:12" s="102" customFormat="1" ht="25.15" customHeight="1" thickBot="1" x14ac:dyDescent="0.45">
      <c r="A22" s="406" t="s">
        <v>145</v>
      </c>
      <c r="B22" s="407"/>
      <c r="C22" s="407"/>
      <c r="D22" s="407"/>
      <c r="E22" s="407"/>
      <c r="F22" s="407"/>
      <c r="G22" s="407"/>
      <c r="H22" s="407"/>
      <c r="I22" s="408"/>
      <c r="J22" s="90"/>
      <c r="K22" s="179"/>
      <c r="L22" s="179"/>
    </row>
    <row r="23" spans="1:12" s="102" customFormat="1" ht="25.15" customHeight="1" thickTop="1" x14ac:dyDescent="0.25">
      <c r="A23" s="189" t="s">
        <v>1</v>
      </c>
      <c r="B23" s="203" t="s">
        <v>2</v>
      </c>
      <c r="C23" s="204" t="s">
        <v>3</v>
      </c>
      <c r="D23" s="409" t="s">
        <v>18</v>
      </c>
      <c r="E23" s="410"/>
      <c r="F23" s="411"/>
      <c r="G23" s="226" t="s">
        <v>4</v>
      </c>
      <c r="H23" s="225" t="s">
        <v>121</v>
      </c>
      <c r="I23" s="310" t="s">
        <v>5</v>
      </c>
      <c r="J23" s="189" t="s">
        <v>9</v>
      </c>
      <c r="K23" s="190" t="s">
        <v>11</v>
      </c>
      <c r="L23" s="191" t="s">
        <v>12</v>
      </c>
    </row>
    <row r="24" spans="1:12" s="102" customFormat="1" ht="25.15" customHeight="1" x14ac:dyDescent="0.25">
      <c r="A24" s="196">
        <v>1</v>
      </c>
      <c r="B24" s="193" t="s">
        <v>146</v>
      </c>
      <c r="C24" s="194" t="s">
        <v>123</v>
      </c>
      <c r="D24" s="198">
        <v>4</v>
      </c>
      <c r="E24" s="199" t="s">
        <v>26</v>
      </c>
      <c r="F24" s="200">
        <v>2</v>
      </c>
      <c r="G24" s="227" t="s">
        <v>147</v>
      </c>
      <c r="H24" s="202" t="s">
        <v>125</v>
      </c>
      <c r="I24" s="195"/>
      <c r="J24" s="103">
        <f t="shared" ref="J24:J33" si="15">F24+D24</f>
        <v>6</v>
      </c>
      <c r="K24" s="86">
        <v>70</v>
      </c>
      <c r="L24" s="192">
        <f t="shared" ref="L24:L33" si="16">J24*K24</f>
        <v>420</v>
      </c>
    </row>
    <row r="25" spans="1:12" s="102" customFormat="1" ht="25.15" customHeight="1" x14ac:dyDescent="0.25">
      <c r="A25" s="196">
        <v>2</v>
      </c>
      <c r="B25" s="193" t="s">
        <v>148</v>
      </c>
      <c r="C25" s="194" t="s">
        <v>123</v>
      </c>
      <c r="D25" s="198">
        <v>8</v>
      </c>
      <c r="E25" s="199" t="s">
        <v>26</v>
      </c>
      <c r="F25" s="200">
        <v>2</v>
      </c>
      <c r="G25" s="227" t="s">
        <v>149</v>
      </c>
      <c r="H25" s="202" t="s">
        <v>125</v>
      </c>
      <c r="I25" s="195"/>
      <c r="J25" s="103">
        <f t="shared" si="15"/>
        <v>10</v>
      </c>
      <c r="K25" s="86">
        <v>70</v>
      </c>
      <c r="L25" s="192">
        <f t="shared" si="16"/>
        <v>700</v>
      </c>
    </row>
    <row r="26" spans="1:12" s="102" customFormat="1" ht="25.15" customHeight="1" x14ac:dyDescent="0.25">
      <c r="A26" s="196">
        <v>3</v>
      </c>
      <c r="B26" s="193" t="s">
        <v>150</v>
      </c>
      <c r="C26" s="194" t="s">
        <v>123</v>
      </c>
      <c r="D26" s="198">
        <v>8</v>
      </c>
      <c r="E26" s="199" t="s">
        <v>26</v>
      </c>
      <c r="F26" s="200">
        <v>2</v>
      </c>
      <c r="G26" s="227" t="s">
        <v>151</v>
      </c>
      <c r="H26" s="202" t="s">
        <v>125</v>
      </c>
      <c r="I26" s="195"/>
      <c r="J26" s="103">
        <f t="shared" si="15"/>
        <v>10</v>
      </c>
      <c r="K26" s="86">
        <v>70</v>
      </c>
      <c r="L26" s="192">
        <f t="shared" si="16"/>
        <v>700</v>
      </c>
    </row>
    <row r="27" spans="1:12" s="102" customFormat="1" ht="25.15" customHeight="1" x14ac:dyDescent="0.25">
      <c r="A27" s="196">
        <v>4</v>
      </c>
      <c r="B27" s="193" t="s">
        <v>152</v>
      </c>
      <c r="C27" s="194" t="s">
        <v>123</v>
      </c>
      <c r="D27" s="198">
        <v>8</v>
      </c>
      <c r="E27" s="199" t="s">
        <v>26</v>
      </c>
      <c r="F27" s="200">
        <v>2</v>
      </c>
      <c r="G27" s="227" t="s">
        <v>153</v>
      </c>
      <c r="H27" s="202" t="s">
        <v>125</v>
      </c>
      <c r="I27" s="195"/>
      <c r="J27" s="103">
        <f t="shared" si="15"/>
        <v>10</v>
      </c>
      <c r="K27" s="86">
        <v>70</v>
      </c>
      <c r="L27" s="192">
        <f t="shared" si="16"/>
        <v>700</v>
      </c>
    </row>
    <row r="28" spans="1:12" s="102" customFormat="1" ht="25.15" customHeight="1" x14ac:dyDescent="0.25">
      <c r="A28" s="196">
        <v>5</v>
      </c>
      <c r="B28" s="193" t="s">
        <v>154</v>
      </c>
      <c r="C28" s="194" t="s">
        <v>123</v>
      </c>
      <c r="D28" s="198">
        <v>4</v>
      </c>
      <c r="E28" s="199" t="s">
        <v>26</v>
      </c>
      <c r="F28" s="200">
        <v>4</v>
      </c>
      <c r="G28" s="227" t="s">
        <v>155</v>
      </c>
      <c r="H28" s="202" t="s">
        <v>125</v>
      </c>
      <c r="I28" s="195"/>
      <c r="J28" s="103">
        <f t="shared" si="15"/>
        <v>8</v>
      </c>
      <c r="K28" s="86">
        <v>70</v>
      </c>
      <c r="L28" s="192">
        <f t="shared" si="16"/>
        <v>560</v>
      </c>
    </row>
    <row r="29" spans="1:12" s="102" customFormat="1" ht="25.15" customHeight="1" x14ac:dyDescent="0.25">
      <c r="A29" s="196">
        <v>6</v>
      </c>
      <c r="B29" s="193" t="s">
        <v>156</v>
      </c>
      <c r="C29" s="194" t="s">
        <v>123</v>
      </c>
      <c r="D29" s="198">
        <v>4</v>
      </c>
      <c r="E29" s="199" t="s">
        <v>26</v>
      </c>
      <c r="F29" s="200">
        <v>4</v>
      </c>
      <c r="G29" s="227" t="s">
        <v>155</v>
      </c>
      <c r="H29" s="202" t="s">
        <v>125</v>
      </c>
      <c r="I29" s="195"/>
      <c r="J29" s="103">
        <f t="shared" si="15"/>
        <v>8</v>
      </c>
      <c r="K29" s="86">
        <v>70</v>
      </c>
      <c r="L29" s="192">
        <f t="shared" si="16"/>
        <v>560</v>
      </c>
    </row>
    <row r="30" spans="1:12" s="102" customFormat="1" ht="25.15" customHeight="1" x14ac:dyDescent="0.25">
      <c r="A30" s="196">
        <v>7</v>
      </c>
      <c r="B30" s="193" t="s">
        <v>157</v>
      </c>
      <c r="C30" s="194" t="s">
        <v>123</v>
      </c>
      <c r="D30" s="198">
        <v>4</v>
      </c>
      <c r="E30" s="199" t="s">
        <v>26</v>
      </c>
      <c r="F30" s="200">
        <v>4</v>
      </c>
      <c r="G30" s="227" t="s">
        <v>158</v>
      </c>
      <c r="H30" s="202" t="s">
        <v>125</v>
      </c>
      <c r="I30" s="195"/>
      <c r="J30" s="103">
        <f t="shared" si="15"/>
        <v>8</v>
      </c>
      <c r="K30" s="86">
        <v>70</v>
      </c>
      <c r="L30" s="192">
        <f t="shared" si="16"/>
        <v>560</v>
      </c>
    </row>
    <row r="31" spans="1:12" s="102" customFormat="1" ht="25.15" customHeight="1" x14ac:dyDescent="0.25">
      <c r="A31" s="196">
        <v>8</v>
      </c>
      <c r="B31" s="193" t="s">
        <v>159</v>
      </c>
      <c r="C31" s="194" t="s">
        <v>123</v>
      </c>
      <c r="D31" s="198">
        <v>6</v>
      </c>
      <c r="E31" s="199" t="s">
        <v>26</v>
      </c>
      <c r="F31" s="200">
        <v>2</v>
      </c>
      <c r="G31" s="194" t="s">
        <v>131</v>
      </c>
      <c r="H31" s="202" t="s">
        <v>125</v>
      </c>
      <c r="I31" s="195"/>
      <c r="J31" s="103">
        <f t="shared" si="15"/>
        <v>8</v>
      </c>
      <c r="K31" s="86">
        <v>70</v>
      </c>
      <c r="L31" s="192">
        <f t="shared" si="16"/>
        <v>560</v>
      </c>
    </row>
    <row r="32" spans="1:12" s="102" customFormat="1" ht="25.15" customHeight="1" x14ac:dyDescent="0.25">
      <c r="A32" s="196">
        <v>9</v>
      </c>
      <c r="B32" s="193" t="s">
        <v>160</v>
      </c>
      <c r="C32" s="194" t="s">
        <v>123</v>
      </c>
      <c r="D32" s="198">
        <v>20</v>
      </c>
      <c r="E32" s="199"/>
      <c r="F32" s="200"/>
      <c r="G32" s="201" t="s">
        <v>161</v>
      </c>
      <c r="H32" s="202" t="s">
        <v>125</v>
      </c>
      <c r="I32" s="195" t="s">
        <v>162</v>
      </c>
      <c r="J32" s="103">
        <f t="shared" si="15"/>
        <v>20</v>
      </c>
      <c r="K32" s="86">
        <v>50</v>
      </c>
      <c r="L32" s="192">
        <f t="shared" si="16"/>
        <v>1000</v>
      </c>
    </row>
    <row r="33" spans="1:16" s="102" customFormat="1" ht="25.15" customHeight="1" x14ac:dyDescent="0.25">
      <c r="A33" s="196">
        <v>10</v>
      </c>
      <c r="B33" s="193" t="s">
        <v>163</v>
      </c>
      <c r="C33" s="194" t="s">
        <v>123</v>
      </c>
      <c r="D33" s="198">
        <v>20</v>
      </c>
      <c r="E33" s="199"/>
      <c r="F33" s="200"/>
      <c r="G33" s="201" t="s">
        <v>164</v>
      </c>
      <c r="H33" s="202" t="s">
        <v>125</v>
      </c>
      <c r="I33" s="195" t="s">
        <v>162</v>
      </c>
      <c r="J33" s="103">
        <f t="shared" si="15"/>
        <v>20</v>
      </c>
      <c r="K33" s="86">
        <v>50</v>
      </c>
      <c r="L33" s="192">
        <f t="shared" si="16"/>
        <v>1000</v>
      </c>
    </row>
    <row r="34" spans="1:16" s="102" customFormat="1" ht="25.15" customHeight="1" x14ac:dyDescent="0.25">
      <c r="A34" s="196"/>
      <c r="B34" s="193"/>
      <c r="C34" s="194"/>
      <c r="D34" s="198"/>
      <c r="E34" s="199"/>
      <c r="F34" s="200"/>
      <c r="G34" s="227"/>
      <c r="H34" s="228"/>
      <c r="I34" s="195"/>
      <c r="J34" s="103"/>
      <c r="K34" s="86"/>
      <c r="L34" s="192"/>
    </row>
    <row r="35" spans="1:16" s="102" customFormat="1" ht="25.15" customHeight="1" thickBot="1" x14ac:dyDescent="0.45">
      <c r="A35" s="406" t="s">
        <v>165</v>
      </c>
      <c r="B35" s="407"/>
      <c r="C35" s="407"/>
      <c r="D35" s="407"/>
      <c r="E35" s="407"/>
      <c r="F35" s="407"/>
      <c r="G35" s="407"/>
      <c r="H35" s="407"/>
      <c r="I35" s="408"/>
      <c r="J35" s="103"/>
      <c r="K35" s="86"/>
      <c r="L35" s="192"/>
    </row>
    <row r="36" spans="1:16" s="102" customFormat="1" ht="25.15" customHeight="1" thickTop="1" x14ac:dyDescent="0.25">
      <c r="A36" s="196">
        <v>1</v>
      </c>
      <c r="B36" s="205" t="s">
        <v>166</v>
      </c>
      <c r="C36" s="206" t="s">
        <v>123</v>
      </c>
      <c r="D36" s="198">
        <v>28</v>
      </c>
      <c r="E36" s="199" t="s">
        <v>26</v>
      </c>
      <c r="F36" s="200">
        <v>2</v>
      </c>
      <c r="G36" s="227"/>
      <c r="H36" s="228"/>
      <c r="I36" s="195" t="s">
        <v>167</v>
      </c>
      <c r="J36" s="103">
        <f t="shared" ref="J36:J37" si="17">F36+D36</f>
        <v>30</v>
      </c>
      <c r="K36" s="86">
        <v>300</v>
      </c>
      <c r="L36" s="192">
        <f t="shared" ref="L36:L37" si="18">J36*K36</f>
        <v>9000</v>
      </c>
    </row>
    <row r="37" spans="1:16" s="102" customFormat="1" ht="25.15" customHeight="1" x14ac:dyDescent="0.25">
      <c r="A37" s="196">
        <v>2</v>
      </c>
      <c r="B37" s="205" t="s">
        <v>260</v>
      </c>
      <c r="C37" s="206" t="s">
        <v>123</v>
      </c>
      <c r="D37" s="198">
        <v>64</v>
      </c>
      <c r="E37" s="199" t="s">
        <v>26</v>
      </c>
      <c r="F37" s="200">
        <v>4</v>
      </c>
      <c r="G37" s="227"/>
      <c r="H37" s="228"/>
      <c r="I37" s="195" t="s">
        <v>167</v>
      </c>
      <c r="J37" s="103">
        <f t="shared" si="17"/>
        <v>68</v>
      </c>
      <c r="K37" s="86">
        <v>200</v>
      </c>
      <c r="L37" s="192">
        <f t="shared" si="18"/>
        <v>13600</v>
      </c>
    </row>
    <row r="38" spans="1:16" s="102" customFormat="1" ht="25.15" customHeight="1" x14ac:dyDescent="0.25">
      <c r="A38" s="196">
        <v>3</v>
      </c>
      <c r="B38" s="205" t="s">
        <v>168</v>
      </c>
      <c r="C38" s="206" t="s">
        <v>123</v>
      </c>
      <c r="D38" s="268">
        <v>4</v>
      </c>
      <c r="E38" s="269"/>
      <c r="F38" s="270"/>
      <c r="G38" s="227"/>
      <c r="H38" s="228"/>
      <c r="I38" s="195" t="s">
        <v>167</v>
      </c>
      <c r="J38" s="103">
        <f t="shared" ref="J38:J39" si="19">F38+D38</f>
        <v>4</v>
      </c>
      <c r="K38" s="86">
        <v>400</v>
      </c>
      <c r="L38" s="192">
        <f t="shared" ref="L38:L39" si="20">J38*K38</f>
        <v>1600</v>
      </c>
    </row>
    <row r="39" spans="1:16" s="102" customFormat="1" ht="25.15" customHeight="1" x14ac:dyDescent="0.25">
      <c r="A39" s="196">
        <v>4</v>
      </c>
      <c r="B39" s="205" t="s">
        <v>169</v>
      </c>
      <c r="C39" s="206" t="s">
        <v>123</v>
      </c>
      <c r="D39" s="268">
        <v>8</v>
      </c>
      <c r="E39" s="269"/>
      <c r="F39" s="270"/>
      <c r="G39" s="227"/>
      <c r="H39" s="228"/>
      <c r="I39" s="195" t="s">
        <v>167</v>
      </c>
      <c r="J39" s="103">
        <f t="shared" si="19"/>
        <v>8</v>
      </c>
      <c r="K39" s="86">
        <v>400</v>
      </c>
      <c r="L39" s="192">
        <f t="shared" si="20"/>
        <v>3200</v>
      </c>
    </row>
    <row r="40" spans="1:16" s="102" customFormat="1" ht="25.15" customHeight="1" x14ac:dyDescent="0.25">
      <c r="A40" s="196">
        <v>5</v>
      </c>
      <c r="B40" s="205" t="s">
        <v>170</v>
      </c>
      <c r="C40" s="206" t="s">
        <v>123</v>
      </c>
      <c r="D40" s="268">
        <v>1</v>
      </c>
      <c r="E40" s="269"/>
      <c r="F40" s="270"/>
      <c r="G40" s="227"/>
      <c r="H40" s="228"/>
      <c r="I40" s="195" t="s">
        <v>171</v>
      </c>
      <c r="J40" s="103">
        <f t="shared" ref="J40" si="21">F40+D40</f>
        <v>1</v>
      </c>
      <c r="K40" s="86">
        <v>200</v>
      </c>
      <c r="L40" s="192">
        <f t="shared" ref="L40" si="22">J40*K40</f>
        <v>200</v>
      </c>
    </row>
    <row r="41" spans="1:16" s="102" customFormat="1" ht="25.15" customHeight="1" thickBot="1" x14ac:dyDescent="0.45">
      <c r="A41" s="406" t="s">
        <v>172</v>
      </c>
      <c r="B41" s="407"/>
      <c r="C41" s="407"/>
      <c r="D41" s="407"/>
      <c r="E41" s="407"/>
      <c r="F41" s="407"/>
      <c r="G41" s="407"/>
      <c r="H41" s="407"/>
      <c r="I41" s="408"/>
      <c r="J41" s="103"/>
      <c r="K41" s="86"/>
      <c r="L41" s="192"/>
    </row>
    <row r="42" spans="1:16" s="102" customFormat="1" ht="25.15" customHeight="1" thickTop="1" x14ac:dyDescent="0.25">
      <c r="A42" s="196">
        <v>1</v>
      </c>
      <c r="B42" s="205" t="s">
        <v>173</v>
      </c>
      <c r="C42" s="206" t="s">
        <v>123</v>
      </c>
      <c r="D42" s="268"/>
      <c r="E42" s="211"/>
      <c r="F42" s="212">
        <v>1</v>
      </c>
      <c r="G42" s="206"/>
      <c r="H42" s="268"/>
      <c r="I42" s="195" t="s">
        <v>174</v>
      </c>
      <c r="J42" s="103"/>
      <c r="K42" s="86"/>
      <c r="L42" s="192"/>
    </row>
    <row r="43" spans="1:16" s="102" customFormat="1" ht="25.15" customHeight="1" x14ac:dyDescent="0.25">
      <c r="A43" s="196">
        <v>2</v>
      </c>
      <c r="B43" s="205" t="s">
        <v>175</v>
      </c>
      <c r="C43" s="206" t="s">
        <v>123</v>
      </c>
      <c r="D43" s="268"/>
      <c r="E43" s="269"/>
      <c r="F43" s="270">
        <v>1</v>
      </c>
      <c r="G43" s="206"/>
      <c r="H43" s="268"/>
      <c r="I43" s="195" t="s">
        <v>174</v>
      </c>
      <c r="J43" s="103"/>
      <c r="K43" s="86"/>
      <c r="L43" s="192"/>
    </row>
    <row r="44" spans="1:16" s="102" customFormat="1" ht="25.15" customHeight="1" x14ac:dyDescent="0.25">
      <c r="A44" s="196">
        <v>3</v>
      </c>
      <c r="B44" s="205" t="s">
        <v>176</v>
      </c>
      <c r="C44" s="206" t="s">
        <v>123</v>
      </c>
      <c r="D44" s="268"/>
      <c r="E44" s="269"/>
      <c r="F44" s="270">
        <v>2</v>
      </c>
      <c r="G44" s="206"/>
      <c r="H44" s="268"/>
      <c r="I44" s="195" t="s">
        <v>174</v>
      </c>
      <c r="J44" s="103"/>
      <c r="K44" s="86"/>
      <c r="L44" s="192"/>
    </row>
    <row r="45" spans="1:16" s="102" customFormat="1" ht="25.15" customHeight="1" x14ac:dyDescent="0.25">
      <c r="A45" s="207"/>
      <c r="B45" s="208"/>
      <c r="C45" s="209"/>
      <c r="D45" s="209"/>
      <c r="E45" s="209"/>
      <c r="F45" s="209"/>
      <c r="G45" s="229"/>
      <c r="H45" s="229"/>
      <c r="I45" s="210"/>
      <c r="J45" s="103"/>
      <c r="K45" s="86"/>
      <c r="L45" s="192"/>
    </row>
    <row r="46" spans="1:16" ht="25.15" customHeight="1" thickBot="1" x14ac:dyDescent="0.3">
      <c r="A46" s="394" t="s">
        <v>328</v>
      </c>
      <c r="B46" s="395"/>
      <c r="C46" s="395"/>
      <c r="D46" s="395"/>
      <c r="E46" s="395"/>
      <c r="F46" s="395"/>
      <c r="G46" s="395"/>
      <c r="H46" s="395"/>
      <c r="I46" s="396"/>
      <c r="J46" s="404" t="s">
        <v>177</v>
      </c>
      <c r="K46" s="405"/>
      <c r="L46" s="180">
        <f>SUM(L25:L45)</f>
        <v>33940</v>
      </c>
      <c r="P46" s="277"/>
    </row>
    <row r="47" spans="1:16" ht="25.15" customHeight="1" thickTop="1" thickBot="1" x14ac:dyDescent="0.3">
      <c r="A47" s="181" t="s">
        <v>271</v>
      </c>
      <c r="B47" s="182"/>
      <c r="C47" s="183" t="s">
        <v>272</v>
      </c>
      <c r="D47" s="183"/>
      <c r="E47" s="183"/>
      <c r="F47" s="184"/>
      <c r="G47" s="230"/>
      <c r="H47" s="230"/>
      <c r="I47" s="185" t="s">
        <v>178</v>
      </c>
      <c r="J47" s="404" t="s">
        <v>179</v>
      </c>
      <c r="K47" s="405"/>
      <c r="L47" s="186">
        <f>L21+L46</f>
        <v>57629</v>
      </c>
    </row>
    <row r="48" spans="1:16" ht="25.15" customHeight="1" thickTop="1" x14ac:dyDescent="0.25">
      <c r="A48" s="98"/>
      <c r="C48" s="98"/>
      <c r="D48" s="98"/>
      <c r="E48" s="98"/>
      <c r="F48" s="98"/>
      <c r="G48" s="231"/>
      <c r="H48" s="231"/>
      <c r="I48" s="98"/>
      <c r="J48" s="98"/>
      <c r="K48" s="187"/>
      <c r="L48" s="187"/>
    </row>
    <row r="49" spans="1:12" ht="25.15" customHeight="1" x14ac:dyDescent="0.25">
      <c r="A49" s="98"/>
      <c r="C49" s="98"/>
      <c r="D49" s="98"/>
      <c r="E49" s="98"/>
      <c r="F49" s="98"/>
      <c r="G49" s="231"/>
      <c r="H49" s="231"/>
      <c r="I49" s="98"/>
      <c r="J49" s="98"/>
      <c r="K49" s="187"/>
      <c r="L49" s="187"/>
    </row>
    <row r="50" spans="1:12" ht="25.15" customHeight="1" x14ac:dyDescent="0.25">
      <c r="A50" s="98"/>
      <c r="C50" s="98"/>
      <c r="D50" s="98"/>
      <c r="E50" s="98"/>
      <c r="F50" s="98"/>
      <c r="G50" s="231"/>
      <c r="H50" s="231"/>
      <c r="I50" s="98"/>
      <c r="J50" s="98"/>
      <c r="K50" s="187"/>
      <c r="L50" s="187"/>
    </row>
    <row r="51" spans="1:12" ht="25.15" customHeight="1" x14ac:dyDescent="0.25">
      <c r="A51" s="98"/>
      <c r="C51" s="98"/>
      <c r="D51" s="98"/>
      <c r="E51" s="98"/>
      <c r="F51" s="98"/>
      <c r="G51" s="231"/>
      <c r="H51" s="231"/>
      <c r="I51" s="98"/>
      <c r="J51" s="98"/>
      <c r="K51" s="187"/>
      <c r="L51" s="187"/>
    </row>
    <row r="52" spans="1:12" ht="25.15" customHeight="1" x14ac:dyDescent="0.25">
      <c r="A52" s="98"/>
      <c r="C52" s="98"/>
      <c r="D52" s="98"/>
      <c r="E52" s="98"/>
      <c r="F52" s="98"/>
      <c r="G52" s="231"/>
      <c r="H52" s="231"/>
      <c r="I52" s="98"/>
      <c r="J52" s="98"/>
      <c r="K52" s="187"/>
      <c r="L52" s="187"/>
    </row>
    <row r="53" spans="1:12" ht="25.15" customHeight="1" x14ac:dyDescent="0.25">
      <c r="A53" s="98"/>
      <c r="C53" s="98"/>
      <c r="D53" s="98"/>
      <c r="E53" s="98"/>
      <c r="F53" s="98"/>
      <c r="G53" s="231"/>
      <c r="H53" s="231"/>
      <c r="I53" s="98"/>
      <c r="J53" s="98"/>
      <c r="K53" s="187"/>
      <c r="L53" s="187"/>
    </row>
    <row r="54" spans="1:12" ht="25.15" customHeight="1" x14ac:dyDescent="0.25">
      <c r="A54" s="98"/>
      <c r="C54" s="98"/>
      <c r="D54" s="98"/>
      <c r="E54" s="98"/>
      <c r="F54" s="98"/>
      <c r="G54" s="231"/>
      <c r="H54" s="231"/>
      <c r="I54" s="98"/>
      <c r="J54" s="98"/>
      <c r="K54" s="187"/>
      <c r="L54" s="187"/>
    </row>
    <row r="55" spans="1:12" ht="25.15" customHeight="1" x14ac:dyDescent="0.25">
      <c r="A55" s="98"/>
      <c r="C55" s="98"/>
      <c r="D55" s="98"/>
      <c r="E55" s="98"/>
      <c r="F55" s="98"/>
      <c r="G55" s="231"/>
      <c r="H55" s="231"/>
      <c r="I55" s="98"/>
      <c r="J55" s="98"/>
      <c r="K55" s="187"/>
      <c r="L55" s="187"/>
    </row>
    <row r="56" spans="1:12" ht="25.15" customHeight="1" x14ac:dyDescent="0.25">
      <c r="A56" s="98"/>
      <c r="C56" s="98"/>
      <c r="D56" s="98"/>
      <c r="E56" s="98"/>
      <c r="F56" s="98"/>
      <c r="G56" s="231"/>
      <c r="H56" s="231"/>
      <c r="I56" s="98"/>
      <c r="J56" s="98"/>
      <c r="K56" s="187"/>
      <c r="L56" s="187"/>
    </row>
    <row r="57" spans="1:12" ht="25.15" customHeight="1" x14ac:dyDescent="0.25">
      <c r="A57" s="98"/>
      <c r="C57" s="98"/>
      <c r="D57" s="98"/>
      <c r="E57" s="98"/>
      <c r="F57" s="98"/>
      <c r="G57" s="231"/>
      <c r="H57" s="231"/>
      <c r="I57" s="98"/>
      <c r="J57" s="98"/>
      <c r="K57" s="187"/>
      <c r="L57" s="187"/>
    </row>
    <row r="58" spans="1:12" ht="25.15" customHeight="1" x14ac:dyDescent="0.25">
      <c r="A58" s="98"/>
      <c r="C58" s="98"/>
      <c r="D58" s="98"/>
      <c r="E58" s="98"/>
      <c r="F58" s="98"/>
      <c r="G58" s="231"/>
      <c r="H58" s="231"/>
      <c r="I58" s="98"/>
      <c r="J58" s="98"/>
      <c r="K58" s="187"/>
      <c r="L58" s="187"/>
    </row>
    <row r="59" spans="1:12" ht="25.15" customHeight="1" x14ac:dyDescent="0.25">
      <c r="A59" s="98"/>
      <c r="C59" s="98"/>
      <c r="D59" s="98"/>
      <c r="E59" s="98"/>
      <c r="F59" s="98"/>
      <c r="G59" s="231"/>
      <c r="H59" s="231"/>
      <c r="I59" s="98"/>
      <c r="J59" s="98"/>
      <c r="K59" s="187"/>
      <c r="L59" s="187"/>
    </row>
    <row r="60" spans="1:12" ht="25.15" customHeight="1" x14ac:dyDescent="0.25">
      <c r="A60" s="98"/>
      <c r="C60" s="98"/>
      <c r="D60" s="98"/>
      <c r="E60" s="98"/>
      <c r="F60" s="98"/>
      <c r="G60" s="231"/>
      <c r="H60" s="231"/>
      <c r="I60" s="98"/>
      <c r="J60" s="98"/>
      <c r="K60" s="187"/>
      <c r="L60" s="187"/>
    </row>
    <row r="61" spans="1:12" ht="25.15" customHeight="1" x14ac:dyDescent="0.25">
      <c r="A61" s="98"/>
      <c r="C61" s="98"/>
      <c r="D61" s="98"/>
      <c r="E61" s="98"/>
      <c r="F61" s="98"/>
      <c r="G61" s="231"/>
      <c r="H61" s="231"/>
      <c r="I61" s="98"/>
      <c r="J61" s="98"/>
      <c r="K61" s="187"/>
      <c r="L61" s="187"/>
    </row>
    <row r="62" spans="1:12" ht="25.15" customHeight="1" x14ac:dyDescent="0.25">
      <c r="A62" s="98"/>
      <c r="C62" s="98"/>
      <c r="D62" s="98"/>
      <c r="E62" s="98"/>
      <c r="F62" s="98"/>
      <c r="G62" s="231"/>
      <c r="H62" s="231"/>
      <c r="I62" s="98"/>
      <c r="J62" s="98"/>
      <c r="K62" s="187"/>
      <c r="L62" s="187"/>
    </row>
    <row r="63" spans="1:12" ht="25.15" customHeight="1" x14ac:dyDescent="0.25">
      <c r="A63" s="98"/>
      <c r="C63" s="98"/>
      <c r="D63" s="98"/>
      <c r="E63" s="98"/>
      <c r="F63" s="98"/>
      <c r="G63" s="231"/>
      <c r="H63" s="231"/>
      <c r="I63" s="98"/>
    </row>
    <row r="64" spans="1:12" ht="25.15" customHeight="1" x14ac:dyDescent="0.25"/>
    <row r="65" spans="2:12" s="97" customFormat="1" ht="25.15" customHeight="1" x14ac:dyDescent="0.25">
      <c r="B65" s="98"/>
      <c r="G65" s="232"/>
      <c r="H65" s="232"/>
      <c r="K65" s="173"/>
      <c r="L65" s="173"/>
    </row>
  </sheetData>
  <mergeCells count="14">
    <mergeCell ref="J21:K21"/>
    <mergeCell ref="A1:I1"/>
    <mergeCell ref="A2:I2"/>
    <mergeCell ref="A3:I3"/>
    <mergeCell ref="A4:I4"/>
    <mergeCell ref="D5:F5"/>
    <mergeCell ref="A21:I21"/>
    <mergeCell ref="J47:K47"/>
    <mergeCell ref="A22:I22"/>
    <mergeCell ref="D23:F23"/>
    <mergeCell ref="A35:I35"/>
    <mergeCell ref="A41:I41"/>
    <mergeCell ref="A46:I46"/>
    <mergeCell ref="J46:K46"/>
  </mergeCells>
  <phoneticPr fontId="38" type="noConversion"/>
  <pageMargins left="0.7" right="0.7" top="0.75" bottom="0.75" header="0.3" footer="0.3"/>
  <pageSetup paperSize="9" scale="6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view="pageBreakPreview" zoomScale="60" zoomScaleNormal="100" workbookViewId="0">
      <selection activeCell="F32" sqref="F32"/>
    </sheetView>
  </sheetViews>
  <sheetFormatPr defaultColWidth="8.85546875" defaultRowHeight="15" x14ac:dyDescent="0.25"/>
  <cols>
    <col min="1" max="1" width="6.28515625" style="97" customWidth="1"/>
    <col min="2" max="2" width="21.28515625" style="98" customWidth="1"/>
    <col min="3" max="3" width="11.42578125" style="97" customWidth="1"/>
    <col min="4" max="4" width="5" style="97" bestFit="1" customWidth="1"/>
    <col min="5" max="5" width="0.85546875" style="97" customWidth="1"/>
    <col min="6" max="6" width="3" style="97" bestFit="1" customWidth="1"/>
    <col min="7" max="7" width="18" style="232" bestFit="1" customWidth="1"/>
    <col min="8" max="8" width="11.7109375" style="232" bestFit="1" customWidth="1"/>
    <col min="9" max="9" width="41.28515625" style="218" customWidth="1"/>
    <col min="10" max="10" width="7.28515625" style="97" customWidth="1"/>
    <col min="11" max="11" width="9.28515625" style="173" customWidth="1"/>
    <col min="12" max="12" width="12.5703125" style="173" customWidth="1"/>
    <col min="13" max="16384" width="8.85546875" style="98"/>
  </cols>
  <sheetData>
    <row r="1" spans="1:12" ht="25.15" customHeight="1" thickTop="1" x14ac:dyDescent="0.25">
      <c r="A1" s="361" t="s">
        <v>0</v>
      </c>
      <c r="B1" s="362"/>
      <c r="C1" s="362"/>
      <c r="D1" s="362"/>
      <c r="E1" s="362"/>
      <c r="F1" s="362"/>
      <c r="G1" s="362"/>
      <c r="H1" s="363"/>
      <c r="I1" s="364"/>
    </row>
    <row r="2" spans="1:12" ht="25.15" customHeight="1" x14ac:dyDescent="0.25">
      <c r="A2" s="365" t="s">
        <v>116</v>
      </c>
      <c r="B2" s="366"/>
      <c r="C2" s="366"/>
      <c r="D2" s="366"/>
      <c r="E2" s="366"/>
      <c r="F2" s="366"/>
      <c r="G2" s="366"/>
      <c r="H2" s="367"/>
      <c r="I2" s="368"/>
    </row>
    <row r="3" spans="1:12" ht="25.15" customHeight="1" x14ac:dyDescent="0.35">
      <c r="A3" s="414" t="s">
        <v>115</v>
      </c>
      <c r="B3" s="415"/>
      <c r="C3" s="415"/>
      <c r="D3" s="415"/>
      <c r="E3" s="415"/>
      <c r="F3" s="415"/>
      <c r="G3" s="415"/>
      <c r="H3" s="416"/>
      <c r="I3" s="417"/>
      <c r="K3" s="173" t="s">
        <v>117</v>
      </c>
    </row>
    <row r="4" spans="1:12" ht="25.15" customHeight="1" thickBot="1" x14ac:dyDescent="0.45">
      <c r="A4" s="434" t="s">
        <v>180</v>
      </c>
      <c r="B4" s="435"/>
      <c r="C4" s="435"/>
      <c r="D4" s="435"/>
      <c r="E4" s="435"/>
      <c r="F4" s="435"/>
      <c r="G4" s="435"/>
      <c r="H4" s="436"/>
      <c r="I4" s="437"/>
    </row>
    <row r="5" spans="1:12" ht="25.15" customHeight="1" thickTop="1" x14ac:dyDescent="0.25">
      <c r="A5" s="174" t="s">
        <v>1</v>
      </c>
      <c r="B5" s="188" t="s">
        <v>2</v>
      </c>
      <c r="C5" s="175" t="s">
        <v>119</v>
      </c>
      <c r="D5" s="418" t="s">
        <v>18</v>
      </c>
      <c r="E5" s="419"/>
      <c r="F5" s="420"/>
      <c r="G5" s="224" t="s">
        <v>120</v>
      </c>
      <c r="H5" s="225" t="s">
        <v>121</v>
      </c>
      <c r="I5" s="213" t="s">
        <v>5</v>
      </c>
      <c r="J5" s="174" t="s">
        <v>9</v>
      </c>
      <c r="K5" s="177" t="s">
        <v>11</v>
      </c>
      <c r="L5" s="178" t="s">
        <v>12</v>
      </c>
    </row>
    <row r="6" spans="1:12" s="102" customFormat="1" ht="25.15" customHeight="1" x14ac:dyDescent="0.25">
      <c r="A6" s="103">
        <v>1</v>
      </c>
      <c r="B6" s="193" t="s">
        <v>181</v>
      </c>
      <c r="C6" s="87" t="s">
        <v>123</v>
      </c>
      <c r="D6" s="94">
        <v>4</v>
      </c>
      <c r="E6" s="249" t="s">
        <v>26</v>
      </c>
      <c r="F6" s="138">
        <v>2</v>
      </c>
      <c r="G6" s="271" t="s">
        <v>254</v>
      </c>
      <c r="H6" s="272" t="s">
        <v>299</v>
      </c>
      <c r="I6" s="273" t="s">
        <v>182</v>
      </c>
      <c r="J6" s="103">
        <f>F6+D6</f>
        <v>6</v>
      </c>
      <c r="K6" s="86">
        <v>40</v>
      </c>
      <c r="L6" s="192">
        <f t="shared" ref="L6:L16" si="0">J6*K6</f>
        <v>240</v>
      </c>
    </row>
    <row r="7" spans="1:12" s="102" customFormat="1" ht="25.15" customHeight="1" x14ac:dyDescent="0.25">
      <c r="A7" s="103">
        <v>2</v>
      </c>
      <c r="B7" s="193" t="s">
        <v>181</v>
      </c>
      <c r="C7" s="87" t="s">
        <v>123</v>
      </c>
      <c r="D7" s="94">
        <v>16</v>
      </c>
      <c r="E7" s="249" t="s">
        <v>26</v>
      </c>
      <c r="F7" s="138">
        <v>4</v>
      </c>
      <c r="G7" s="271" t="s">
        <v>183</v>
      </c>
      <c r="H7" s="272" t="s">
        <v>299</v>
      </c>
      <c r="I7" s="273" t="s">
        <v>107</v>
      </c>
      <c r="J7" s="103">
        <f>F7+D7</f>
        <v>20</v>
      </c>
      <c r="K7" s="86">
        <v>10</v>
      </c>
      <c r="L7" s="192">
        <f t="shared" si="0"/>
        <v>200</v>
      </c>
    </row>
    <row r="8" spans="1:12" s="102" customFormat="1" ht="25.15" customHeight="1" x14ac:dyDescent="0.25">
      <c r="A8" s="103">
        <v>3</v>
      </c>
      <c r="B8" s="193" t="s">
        <v>181</v>
      </c>
      <c r="C8" s="87" t="s">
        <v>123</v>
      </c>
      <c r="D8" s="94">
        <v>24</v>
      </c>
      <c r="E8" s="249" t="s">
        <v>26</v>
      </c>
      <c r="F8" s="138">
        <v>4</v>
      </c>
      <c r="G8" s="271" t="s">
        <v>184</v>
      </c>
      <c r="H8" s="272" t="s">
        <v>299</v>
      </c>
      <c r="I8" s="273" t="s">
        <v>185</v>
      </c>
      <c r="J8" s="103">
        <f>F8+D8</f>
        <v>28</v>
      </c>
      <c r="K8" s="86">
        <v>15</v>
      </c>
      <c r="L8" s="192">
        <f t="shared" si="0"/>
        <v>420</v>
      </c>
    </row>
    <row r="9" spans="1:12" s="102" customFormat="1" ht="25.15" customHeight="1" x14ac:dyDescent="0.25">
      <c r="A9" s="103">
        <v>4</v>
      </c>
      <c r="B9" s="193" t="s">
        <v>181</v>
      </c>
      <c r="C9" s="87" t="s">
        <v>123</v>
      </c>
      <c r="D9" s="94">
        <v>9</v>
      </c>
      <c r="E9" s="249" t="s">
        <v>26</v>
      </c>
      <c r="F9" s="138">
        <v>1</v>
      </c>
      <c r="G9" s="271" t="s">
        <v>186</v>
      </c>
      <c r="H9" s="272" t="s">
        <v>299</v>
      </c>
      <c r="I9" s="214" t="s">
        <v>187</v>
      </c>
      <c r="J9" s="103">
        <f>F9+D9</f>
        <v>10</v>
      </c>
      <c r="K9" s="86">
        <v>10</v>
      </c>
      <c r="L9" s="192">
        <f t="shared" si="0"/>
        <v>100</v>
      </c>
    </row>
    <row r="10" spans="1:12" s="102" customFormat="1" ht="25.15" customHeight="1" x14ac:dyDescent="0.25">
      <c r="A10" s="103">
        <v>5</v>
      </c>
      <c r="B10" s="193" t="s">
        <v>181</v>
      </c>
      <c r="C10" s="87" t="s">
        <v>123</v>
      </c>
      <c r="D10" s="94">
        <v>32</v>
      </c>
      <c r="E10" s="249" t="s">
        <v>26</v>
      </c>
      <c r="F10" s="138">
        <v>4</v>
      </c>
      <c r="G10" s="271" t="s">
        <v>188</v>
      </c>
      <c r="H10" s="272" t="s">
        <v>299</v>
      </c>
      <c r="I10" s="214" t="s">
        <v>189</v>
      </c>
      <c r="J10" s="103">
        <f t="shared" ref="J10:J16" si="1">F10+D10</f>
        <v>36</v>
      </c>
      <c r="K10" s="86">
        <v>10</v>
      </c>
      <c r="L10" s="192">
        <f t="shared" si="0"/>
        <v>360</v>
      </c>
    </row>
    <row r="11" spans="1:12" s="102" customFormat="1" ht="25.15" customHeight="1" x14ac:dyDescent="0.25">
      <c r="A11" s="103">
        <v>6</v>
      </c>
      <c r="B11" s="193" t="s">
        <v>181</v>
      </c>
      <c r="C11" s="87" t="s">
        <v>123</v>
      </c>
      <c r="D11" s="94">
        <v>64</v>
      </c>
      <c r="E11" s="249" t="s">
        <v>26</v>
      </c>
      <c r="F11" s="138">
        <v>4</v>
      </c>
      <c r="G11" s="271" t="s">
        <v>183</v>
      </c>
      <c r="H11" s="272" t="s">
        <v>299</v>
      </c>
      <c r="I11" s="214" t="s">
        <v>137</v>
      </c>
      <c r="J11" s="103">
        <f t="shared" si="1"/>
        <v>68</v>
      </c>
      <c r="K11" s="86">
        <v>10</v>
      </c>
      <c r="L11" s="192">
        <f t="shared" si="0"/>
        <v>680</v>
      </c>
    </row>
    <row r="12" spans="1:12" s="102" customFormat="1" ht="25.15" customHeight="1" x14ac:dyDescent="0.25">
      <c r="A12" s="103">
        <v>7</v>
      </c>
      <c r="B12" s="193" t="s">
        <v>181</v>
      </c>
      <c r="C12" s="87" t="s">
        <v>123</v>
      </c>
      <c r="D12" s="94">
        <v>16</v>
      </c>
      <c r="E12" s="249" t="s">
        <v>26</v>
      </c>
      <c r="F12" s="138">
        <v>2</v>
      </c>
      <c r="G12" s="271" t="s">
        <v>261</v>
      </c>
      <c r="H12" s="272" t="s">
        <v>299</v>
      </c>
      <c r="I12" s="214" t="s">
        <v>190</v>
      </c>
      <c r="J12" s="103">
        <f t="shared" si="1"/>
        <v>18</v>
      </c>
      <c r="K12" s="86">
        <v>15</v>
      </c>
      <c r="L12" s="192">
        <f t="shared" si="0"/>
        <v>270</v>
      </c>
    </row>
    <row r="13" spans="1:12" s="102" customFormat="1" ht="25.15" customHeight="1" x14ac:dyDescent="0.25">
      <c r="A13" s="103">
        <v>8</v>
      </c>
      <c r="B13" s="193" t="s">
        <v>181</v>
      </c>
      <c r="C13" s="87" t="s">
        <v>123</v>
      </c>
      <c r="D13" s="94">
        <v>28</v>
      </c>
      <c r="E13" s="249" t="s">
        <v>26</v>
      </c>
      <c r="F13" s="138">
        <v>4</v>
      </c>
      <c r="G13" s="271" t="s">
        <v>191</v>
      </c>
      <c r="H13" s="272" t="s">
        <v>299</v>
      </c>
      <c r="I13" s="214" t="s">
        <v>192</v>
      </c>
      <c r="J13" s="103">
        <f t="shared" si="1"/>
        <v>32</v>
      </c>
      <c r="K13" s="86">
        <v>20</v>
      </c>
      <c r="L13" s="192">
        <f t="shared" si="0"/>
        <v>640</v>
      </c>
    </row>
    <row r="14" spans="1:12" s="102" customFormat="1" ht="25.15" customHeight="1" x14ac:dyDescent="0.25">
      <c r="A14" s="103">
        <v>9</v>
      </c>
      <c r="B14" s="193" t="s">
        <v>181</v>
      </c>
      <c r="C14" s="87" t="s">
        <v>123</v>
      </c>
      <c r="D14" s="94">
        <v>20</v>
      </c>
      <c r="E14" s="249" t="s">
        <v>26</v>
      </c>
      <c r="F14" s="138">
        <v>2</v>
      </c>
      <c r="G14" s="271" t="s">
        <v>208</v>
      </c>
      <c r="H14" s="272" t="s">
        <v>299</v>
      </c>
      <c r="I14" s="214" t="s">
        <v>294</v>
      </c>
      <c r="J14" s="103">
        <f t="shared" si="1"/>
        <v>22</v>
      </c>
      <c r="K14" s="86">
        <v>16</v>
      </c>
      <c r="L14" s="192">
        <f t="shared" si="0"/>
        <v>352</v>
      </c>
    </row>
    <row r="15" spans="1:12" s="102" customFormat="1" ht="25.15" customHeight="1" x14ac:dyDescent="0.25">
      <c r="A15" s="103">
        <v>10</v>
      </c>
      <c r="B15" s="193" t="s">
        <v>181</v>
      </c>
      <c r="C15" s="87" t="s">
        <v>123</v>
      </c>
      <c r="D15" s="94">
        <v>12</v>
      </c>
      <c r="E15" s="249" t="s">
        <v>26</v>
      </c>
      <c r="F15" s="138">
        <v>2</v>
      </c>
      <c r="G15" s="271" t="s">
        <v>208</v>
      </c>
      <c r="H15" s="272" t="s">
        <v>299</v>
      </c>
      <c r="I15" s="214" t="s">
        <v>295</v>
      </c>
      <c r="J15" s="103">
        <f t="shared" ref="J15" si="2">F15+D15</f>
        <v>14</v>
      </c>
      <c r="K15" s="86">
        <v>16</v>
      </c>
      <c r="L15" s="192">
        <f t="shared" ref="L15" si="3">J15*K15</f>
        <v>224</v>
      </c>
    </row>
    <row r="16" spans="1:12" s="102" customFormat="1" ht="25.15" customHeight="1" x14ac:dyDescent="0.25">
      <c r="A16" s="103">
        <v>11</v>
      </c>
      <c r="B16" s="193" t="s">
        <v>181</v>
      </c>
      <c r="C16" s="87" t="s">
        <v>123</v>
      </c>
      <c r="D16" s="94">
        <v>34</v>
      </c>
      <c r="E16" s="249" t="s">
        <v>26</v>
      </c>
      <c r="F16" s="138">
        <v>4</v>
      </c>
      <c r="G16" s="271" t="s">
        <v>296</v>
      </c>
      <c r="H16" s="272" t="s">
        <v>299</v>
      </c>
      <c r="I16" s="214" t="s">
        <v>255</v>
      </c>
      <c r="J16" s="103">
        <f t="shared" si="1"/>
        <v>38</v>
      </c>
      <c r="K16" s="86">
        <v>99</v>
      </c>
      <c r="L16" s="192">
        <f t="shared" si="0"/>
        <v>3762</v>
      </c>
    </row>
    <row r="17" spans="1:12" s="102" customFormat="1" ht="25.15" customHeight="1" x14ac:dyDescent="0.25">
      <c r="A17" s="196"/>
      <c r="B17" s="197"/>
      <c r="C17" s="194"/>
      <c r="D17" s="198"/>
      <c r="E17" s="199"/>
      <c r="F17" s="200"/>
      <c r="G17" s="227"/>
      <c r="H17" s="228"/>
      <c r="I17" s="215"/>
      <c r="J17" s="432" t="s">
        <v>144</v>
      </c>
      <c r="K17" s="433"/>
      <c r="L17" s="221">
        <f>SUM(L6:L16)</f>
        <v>7248</v>
      </c>
    </row>
    <row r="18" spans="1:12" s="102" customFormat="1" ht="25.15" customHeight="1" thickBot="1" x14ac:dyDescent="0.45">
      <c r="A18" s="424" t="s">
        <v>193</v>
      </c>
      <c r="B18" s="425"/>
      <c r="C18" s="425"/>
      <c r="D18" s="425"/>
      <c r="E18" s="425"/>
      <c r="F18" s="425"/>
      <c r="G18" s="425"/>
      <c r="H18" s="425"/>
      <c r="I18" s="426"/>
      <c r="J18" s="90"/>
      <c r="K18" s="179"/>
      <c r="L18" s="179"/>
    </row>
    <row r="19" spans="1:12" s="102" customFormat="1" ht="25.15" customHeight="1" thickTop="1" x14ac:dyDescent="0.25">
      <c r="A19" s="174" t="s">
        <v>1</v>
      </c>
      <c r="B19" s="188" t="s">
        <v>2</v>
      </c>
      <c r="C19" s="175" t="s">
        <v>119</v>
      </c>
      <c r="D19" s="418" t="s">
        <v>18</v>
      </c>
      <c r="E19" s="419"/>
      <c r="F19" s="420"/>
      <c r="G19" s="224" t="s">
        <v>120</v>
      </c>
      <c r="H19" s="225" t="s">
        <v>121</v>
      </c>
      <c r="I19" s="213" t="s">
        <v>5</v>
      </c>
      <c r="J19" s="189" t="s">
        <v>9</v>
      </c>
      <c r="K19" s="190" t="s">
        <v>11</v>
      </c>
      <c r="L19" s="191" t="s">
        <v>12</v>
      </c>
    </row>
    <row r="20" spans="1:12" s="102" customFormat="1" ht="25.15" customHeight="1" x14ac:dyDescent="0.25">
      <c r="A20" s="103">
        <v>1</v>
      </c>
      <c r="B20" s="216" t="s">
        <v>194</v>
      </c>
      <c r="C20" s="194" t="s">
        <v>123</v>
      </c>
      <c r="D20" s="198">
        <v>20</v>
      </c>
      <c r="E20" s="199" t="s">
        <v>26</v>
      </c>
      <c r="F20" s="200">
        <v>0</v>
      </c>
      <c r="G20" s="87" t="s">
        <v>195</v>
      </c>
      <c r="H20" s="228" t="s">
        <v>299</v>
      </c>
      <c r="I20" s="214" t="s">
        <v>196</v>
      </c>
      <c r="J20" s="103">
        <f t="shared" ref="J20:J32" si="4">F20+D20</f>
        <v>20</v>
      </c>
      <c r="K20" s="86">
        <v>10</v>
      </c>
      <c r="L20" s="192">
        <f t="shared" ref="L20:L32" si="5">J20*K20</f>
        <v>200</v>
      </c>
    </row>
    <row r="21" spans="1:12" s="102" customFormat="1" ht="25.15" customHeight="1" x14ac:dyDescent="0.25">
      <c r="A21" s="103">
        <v>2</v>
      </c>
      <c r="B21" s="216" t="s">
        <v>197</v>
      </c>
      <c r="C21" s="194" t="s">
        <v>123</v>
      </c>
      <c r="D21" s="198">
        <v>4</v>
      </c>
      <c r="E21" s="199"/>
      <c r="F21" s="200"/>
      <c r="G21" s="87" t="s">
        <v>198</v>
      </c>
      <c r="H21" s="228" t="s">
        <v>299</v>
      </c>
      <c r="I21" s="214" t="s">
        <v>199</v>
      </c>
      <c r="J21" s="103">
        <f t="shared" si="4"/>
        <v>4</v>
      </c>
      <c r="K21" s="86">
        <v>50</v>
      </c>
      <c r="L21" s="192">
        <f t="shared" si="5"/>
        <v>200</v>
      </c>
    </row>
    <row r="22" spans="1:12" s="102" customFormat="1" ht="25.15" customHeight="1" x14ac:dyDescent="0.25">
      <c r="A22" s="103">
        <v>3</v>
      </c>
      <c r="B22" s="216" t="s">
        <v>200</v>
      </c>
      <c r="C22" s="194" t="s">
        <v>123</v>
      </c>
      <c r="D22" s="198">
        <v>4</v>
      </c>
      <c r="E22" s="199"/>
      <c r="F22" s="200"/>
      <c r="G22" s="194" t="s">
        <v>201</v>
      </c>
      <c r="H22" s="228" t="s">
        <v>299</v>
      </c>
      <c r="I22" s="214" t="s">
        <v>196</v>
      </c>
      <c r="J22" s="103">
        <f t="shared" si="4"/>
        <v>4</v>
      </c>
      <c r="K22" s="86">
        <v>50</v>
      </c>
      <c r="L22" s="192">
        <f t="shared" si="5"/>
        <v>200</v>
      </c>
    </row>
    <row r="23" spans="1:12" s="102" customFormat="1" ht="25.15" customHeight="1" x14ac:dyDescent="0.25">
      <c r="A23" s="103">
        <v>4</v>
      </c>
      <c r="B23" s="217" t="s">
        <v>202</v>
      </c>
      <c r="C23" s="87" t="s">
        <v>123</v>
      </c>
      <c r="D23" s="94">
        <v>12</v>
      </c>
      <c r="E23" s="199" t="s">
        <v>26</v>
      </c>
      <c r="F23" s="200">
        <v>0</v>
      </c>
      <c r="G23" s="87" t="s">
        <v>203</v>
      </c>
      <c r="H23" s="228" t="s">
        <v>299</v>
      </c>
      <c r="I23" s="214" t="s">
        <v>204</v>
      </c>
      <c r="J23" s="103">
        <f t="shared" si="4"/>
        <v>12</v>
      </c>
      <c r="K23" s="86">
        <v>20</v>
      </c>
      <c r="L23" s="192">
        <f t="shared" si="5"/>
        <v>240</v>
      </c>
    </row>
    <row r="24" spans="1:12" s="102" customFormat="1" ht="25.15" customHeight="1" x14ac:dyDescent="0.25">
      <c r="A24" s="103">
        <v>5</v>
      </c>
      <c r="B24" s="217" t="s">
        <v>205</v>
      </c>
      <c r="C24" s="87" t="s">
        <v>123</v>
      </c>
      <c r="D24" s="94">
        <v>4</v>
      </c>
      <c r="E24" s="199" t="s">
        <v>26</v>
      </c>
      <c r="F24" s="200">
        <v>0</v>
      </c>
      <c r="G24" s="87" t="s">
        <v>212</v>
      </c>
      <c r="H24" s="228" t="s">
        <v>299</v>
      </c>
      <c r="I24" s="214" t="s">
        <v>206</v>
      </c>
      <c r="J24" s="103">
        <f t="shared" si="4"/>
        <v>4</v>
      </c>
      <c r="K24" s="86">
        <v>30</v>
      </c>
      <c r="L24" s="192">
        <f t="shared" si="5"/>
        <v>120</v>
      </c>
    </row>
    <row r="25" spans="1:12" s="102" customFormat="1" ht="25.15" customHeight="1" x14ac:dyDescent="0.25">
      <c r="A25" s="103">
        <v>6</v>
      </c>
      <c r="B25" s="217" t="s">
        <v>205</v>
      </c>
      <c r="C25" s="87" t="s">
        <v>123</v>
      </c>
      <c r="D25" s="94">
        <v>4</v>
      </c>
      <c r="E25" s="199" t="s">
        <v>26</v>
      </c>
      <c r="F25" s="200">
        <v>0</v>
      </c>
      <c r="G25" s="87" t="s">
        <v>212</v>
      </c>
      <c r="H25" s="228" t="s">
        <v>299</v>
      </c>
      <c r="I25" s="214" t="s">
        <v>207</v>
      </c>
      <c r="J25" s="103">
        <f t="shared" si="4"/>
        <v>4</v>
      </c>
      <c r="K25" s="86">
        <v>30</v>
      </c>
      <c r="L25" s="192">
        <f t="shared" si="5"/>
        <v>120</v>
      </c>
    </row>
    <row r="26" spans="1:12" s="102" customFormat="1" ht="25.15" customHeight="1" x14ac:dyDescent="0.25">
      <c r="A26" s="103">
        <v>7</v>
      </c>
      <c r="B26" s="217" t="s">
        <v>205</v>
      </c>
      <c r="C26" s="87" t="s">
        <v>123</v>
      </c>
      <c r="D26" s="94">
        <v>32</v>
      </c>
      <c r="E26" s="199" t="s">
        <v>26</v>
      </c>
      <c r="F26" s="200">
        <v>0</v>
      </c>
      <c r="G26" s="87" t="s">
        <v>208</v>
      </c>
      <c r="H26" s="228" t="s">
        <v>299</v>
      </c>
      <c r="I26" s="214" t="s">
        <v>209</v>
      </c>
      <c r="J26" s="103">
        <f t="shared" si="4"/>
        <v>32</v>
      </c>
      <c r="K26" s="86">
        <v>10</v>
      </c>
      <c r="L26" s="192">
        <f t="shared" si="5"/>
        <v>320</v>
      </c>
    </row>
    <row r="27" spans="1:12" s="102" customFormat="1" ht="25.15" customHeight="1" x14ac:dyDescent="0.25">
      <c r="A27" s="103">
        <v>8</v>
      </c>
      <c r="B27" s="216" t="s">
        <v>194</v>
      </c>
      <c r="C27" s="194" t="s">
        <v>123</v>
      </c>
      <c r="D27" s="198">
        <v>10</v>
      </c>
      <c r="E27" s="199"/>
      <c r="F27" s="200"/>
      <c r="G27" s="87" t="s">
        <v>210</v>
      </c>
      <c r="H27" s="228" t="s">
        <v>299</v>
      </c>
      <c r="I27" s="214" t="s">
        <v>211</v>
      </c>
      <c r="J27" s="103">
        <f t="shared" si="4"/>
        <v>10</v>
      </c>
      <c r="K27" s="86">
        <v>22</v>
      </c>
      <c r="L27" s="192">
        <f t="shared" si="5"/>
        <v>220</v>
      </c>
    </row>
    <row r="28" spans="1:12" s="102" customFormat="1" ht="25.15" customHeight="1" x14ac:dyDescent="0.25">
      <c r="A28" s="103">
        <v>9</v>
      </c>
      <c r="B28" s="216" t="s">
        <v>194</v>
      </c>
      <c r="C28" s="194" t="s">
        <v>123</v>
      </c>
      <c r="D28" s="198">
        <v>10</v>
      </c>
      <c r="E28" s="199"/>
      <c r="F28" s="200"/>
      <c r="G28" s="87" t="s">
        <v>212</v>
      </c>
      <c r="H28" s="228" t="s">
        <v>299</v>
      </c>
      <c r="I28" s="214" t="s">
        <v>213</v>
      </c>
      <c r="J28" s="103">
        <f t="shared" si="4"/>
        <v>10</v>
      </c>
      <c r="K28" s="86">
        <v>28</v>
      </c>
      <c r="L28" s="192">
        <f t="shared" si="5"/>
        <v>280</v>
      </c>
    </row>
    <row r="29" spans="1:12" s="102" customFormat="1" ht="25.15" customHeight="1" x14ac:dyDescent="0.25">
      <c r="A29" s="103">
        <v>10</v>
      </c>
      <c r="B29" s="217" t="s">
        <v>202</v>
      </c>
      <c r="C29" s="87" t="s">
        <v>123</v>
      </c>
      <c r="D29" s="94">
        <v>10</v>
      </c>
      <c r="E29" s="199" t="s">
        <v>26</v>
      </c>
      <c r="F29" s="200">
        <v>0</v>
      </c>
      <c r="G29" s="87" t="s">
        <v>208</v>
      </c>
      <c r="H29" s="228" t="s">
        <v>299</v>
      </c>
      <c r="I29" s="214" t="s">
        <v>214</v>
      </c>
      <c r="J29" s="103">
        <f t="shared" si="4"/>
        <v>10</v>
      </c>
      <c r="K29" s="86">
        <v>10</v>
      </c>
      <c r="L29" s="192">
        <f t="shared" si="5"/>
        <v>100</v>
      </c>
    </row>
    <row r="30" spans="1:12" s="102" customFormat="1" ht="25.15" customHeight="1" x14ac:dyDescent="0.25">
      <c r="A30" s="103">
        <v>11</v>
      </c>
      <c r="B30" s="217" t="s">
        <v>205</v>
      </c>
      <c r="C30" s="87" t="s">
        <v>123</v>
      </c>
      <c r="D30" s="94">
        <v>10</v>
      </c>
      <c r="E30" s="199" t="s">
        <v>26</v>
      </c>
      <c r="F30" s="200">
        <v>0</v>
      </c>
      <c r="G30" s="87" t="s">
        <v>184</v>
      </c>
      <c r="H30" s="228" t="s">
        <v>299</v>
      </c>
      <c r="I30" s="214" t="s">
        <v>215</v>
      </c>
      <c r="J30" s="103">
        <f t="shared" si="4"/>
        <v>10</v>
      </c>
      <c r="K30" s="86">
        <v>15</v>
      </c>
      <c r="L30" s="192">
        <f t="shared" si="5"/>
        <v>150</v>
      </c>
    </row>
    <row r="31" spans="1:12" s="102" customFormat="1" ht="25.15" customHeight="1" x14ac:dyDescent="0.25">
      <c r="A31" s="103">
        <v>12</v>
      </c>
      <c r="B31" s="217" t="s">
        <v>216</v>
      </c>
      <c r="C31" s="87" t="s">
        <v>123</v>
      </c>
      <c r="D31" s="94">
        <v>32</v>
      </c>
      <c r="E31" s="199" t="s">
        <v>26</v>
      </c>
      <c r="F31" s="200">
        <v>5</v>
      </c>
      <c r="G31" s="87" t="s">
        <v>217</v>
      </c>
      <c r="H31" s="228" t="s">
        <v>299</v>
      </c>
      <c r="I31" s="214" t="s">
        <v>218</v>
      </c>
      <c r="J31" s="103">
        <f t="shared" si="4"/>
        <v>37</v>
      </c>
      <c r="K31" s="86">
        <v>6</v>
      </c>
      <c r="L31" s="192">
        <f t="shared" si="5"/>
        <v>222</v>
      </c>
    </row>
    <row r="32" spans="1:12" s="102" customFormat="1" ht="25.15" customHeight="1" x14ac:dyDescent="0.25">
      <c r="A32" s="103">
        <v>13</v>
      </c>
      <c r="B32" s="216" t="s">
        <v>194</v>
      </c>
      <c r="C32" s="194" t="s">
        <v>123</v>
      </c>
      <c r="D32" s="198">
        <v>8</v>
      </c>
      <c r="E32" s="199"/>
      <c r="F32" s="200"/>
      <c r="G32" s="87" t="s">
        <v>219</v>
      </c>
      <c r="H32" s="228" t="s">
        <v>299</v>
      </c>
      <c r="I32" s="214" t="s">
        <v>220</v>
      </c>
      <c r="J32" s="103">
        <f t="shared" si="4"/>
        <v>8</v>
      </c>
      <c r="K32" s="86">
        <v>6</v>
      </c>
      <c r="L32" s="192">
        <f t="shared" si="5"/>
        <v>48</v>
      </c>
    </row>
    <row r="33" spans="1:12" ht="25.15" customHeight="1" thickBot="1" x14ac:dyDescent="0.3">
      <c r="A33" s="427" t="s">
        <v>319</v>
      </c>
      <c r="B33" s="428"/>
      <c r="C33" s="428"/>
      <c r="D33" s="428"/>
      <c r="E33" s="428"/>
      <c r="F33" s="428"/>
      <c r="G33" s="428"/>
      <c r="H33" s="428"/>
      <c r="I33" s="429"/>
      <c r="J33" s="430" t="s">
        <v>177</v>
      </c>
      <c r="K33" s="431"/>
      <c r="L33" s="223">
        <f>SUM(L20:L32)</f>
        <v>2420</v>
      </c>
    </row>
    <row r="34" spans="1:12" ht="25.15" customHeight="1" thickTop="1" thickBot="1" x14ac:dyDescent="0.3">
      <c r="A34" s="181" t="s">
        <v>271</v>
      </c>
      <c r="B34" s="182"/>
      <c r="C34" s="183" t="s">
        <v>298</v>
      </c>
      <c r="D34" s="183"/>
      <c r="E34" s="183"/>
      <c r="F34" s="184"/>
      <c r="G34" s="230"/>
      <c r="H34" s="230"/>
      <c r="I34" s="185" t="s">
        <v>221</v>
      </c>
      <c r="J34" s="430" t="s">
        <v>179</v>
      </c>
      <c r="K34" s="431"/>
      <c r="L34" s="222">
        <f>L17+L33</f>
        <v>9668</v>
      </c>
    </row>
    <row r="35" spans="1:12" ht="25.15" customHeight="1" thickTop="1" x14ac:dyDescent="0.25">
      <c r="A35" s="98"/>
      <c r="C35" s="98"/>
      <c r="D35" s="98"/>
      <c r="E35" s="98"/>
      <c r="F35" s="98"/>
      <c r="G35" s="231"/>
      <c r="H35" s="231"/>
      <c r="J35" s="98"/>
      <c r="K35" s="187"/>
      <c r="L35" s="187"/>
    </row>
    <row r="36" spans="1:12" ht="25.15" customHeight="1" x14ac:dyDescent="0.25">
      <c r="A36" s="98"/>
      <c r="C36" s="98"/>
      <c r="D36" s="98"/>
      <c r="E36" s="98"/>
      <c r="F36" s="98"/>
      <c r="G36" s="231"/>
      <c r="H36" s="231"/>
      <c r="J36" s="98"/>
      <c r="K36" s="187"/>
      <c r="L36" s="187"/>
    </row>
    <row r="37" spans="1:12" ht="25.15" customHeight="1" x14ac:dyDescent="0.25">
      <c r="A37" s="98"/>
      <c r="C37" s="98"/>
      <c r="D37" s="98"/>
      <c r="E37" s="98"/>
      <c r="F37" s="98"/>
      <c r="G37" s="231"/>
      <c r="H37" s="231"/>
      <c r="J37" s="98"/>
      <c r="K37" s="187"/>
      <c r="L37" s="187"/>
    </row>
    <row r="38" spans="1:12" ht="25.15" customHeight="1" x14ac:dyDescent="0.25">
      <c r="A38" s="98"/>
      <c r="C38" s="98"/>
      <c r="D38" s="98"/>
      <c r="E38" s="98"/>
      <c r="F38" s="98"/>
      <c r="G38" s="231"/>
      <c r="H38" s="231"/>
      <c r="J38" s="98"/>
      <c r="K38" s="187"/>
      <c r="L38" s="187"/>
    </row>
    <row r="39" spans="1:12" ht="25.15" customHeight="1" x14ac:dyDescent="0.25">
      <c r="A39" s="98"/>
      <c r="C39" s="98"/>
      <c r="D39" s="98"/>
      <c r="E39" s="98"/>
      <c r="F39" s="98"/>
      <c r="G39" s="231"/>
      <c r="H39" s="231"/>
      <c r="J39" s="98"/>
      <c r="K39" s="187"/>
      <c r="L39" s="187"/>
    </row>
    <row r="40" spans="1:12" ht="25.15" customHeight="1" x14ac:dyDescent="0.25">
      <c r="A40" s="98"/>
      <c r="C40" s="98"/>
      <c r="D40" s="98"/>
      <c r="E40" s="98"/>
      <c r="F40" s="98"/>
      <c r="G40" s="231"/>
      <c r="H40" s="231"/>
      <c r="J40" s="98"/>
      <c r="K40" s="187"/>
      <c r="L40" s="187"/>
    </row>
    <row r="41" spans="1:12" ht="25.15" customHeight="1" x14ac:dyDescent="0.25">
      <c r="A41" s="98"/>
      <c r="C41" s="98"/>
      <c r="D41" s="98"/>
      <c r="E41" s="98"/>
      <c r="F41" s="98"/>
      <c r="G41" s="231"/>
      <c r="H41" s="231"/>
      <c r="J41" s="98"/>
      <c r="K41" s="187"/>
      <c r="L41" s="187"/>
    </row>
    <row r="42" spans="1:12" ht="25.15" customHeight="1" x14ac:dyDescent="0.25">
      <c r="A42" s="98"/>
      <c r="C42" s="98"/>
      <c r="D42" s="98"/>
      <c r="E42" s="98"/>
      <c r="F42" s="98"/>
      <c r="G42" s="231"/>
      <c r="H42" s="231"/>
      <c r="J42" s="98"/>
      <c r="K42" s="187"/>
      <c r="L42" s="187"/>
    </row>
    <row r="43" spans="1:12" ht="25.15" customHeight="1" x14ac:dyDescent="0.25">
      <c r="A43" s="98"/>
      <c r="C43" s="98"/>
      <c r="D43" s="98"/>
      <c r="E43" s="98"/>
      <c r="F43" s="98"/>
      <c r="G43" s="231"/>
      <c r="H43" s="231"/>
      <c r="J43" s="98"/>
      <c r="K43" s="187"/>
      <c r="L43" s="187"/>
    </row>
    <row r="44" spans="1:12" ht="25.15" customHeight="1" x14ac:dyDescent="0.25">
      <c r="A44" s="98"/>
      <c r="C44" s="98"/>
      <c r="D44" s="98"/>
      <c r="E44" s="98"/>
      <c r="F44" s="98"/>
      <c r="G44" s="231"/>
      <c r="H44" s="231"/>
      <c r="J44" s="98"/>
      <c r="K44" s="187"/>
      <c r="L44" s="187"/>
    </row>
    <row r="45" spans="1:12" ht="25.15" customHeight="1" x14ac:dyDescent="0.25">
      <c r="A45" s="98"/>
      <c r="C45" s="98"/>
      <c r="D45" s="98"/>
      <c r="E45" s="98"/>
      <c r="F45" s="98"/>
      <c r="G45" s="231"/>
      <c r="H45" s="231"/>
      <c r="J45" s="98"/>
      <c r="K45" s="187"/>
      <c r="L45" s="187"/>
    </row>
    <row r="46" spans="1:12" ht="25.15" customHeight="1" x14ac:dyDescent="0.25">
      <c r="A46" s="98"/>
      <c r="C46" s="98"/>
      <c r="D46" s="98"/>
      <c r="E46" s="98"/>
      <c r="F46" s="98"/>
      <c r="G46" s="231"/>
      <c r="H46" s="231"/>
      <c r="J46" s="98"/>
      <c r="K46" s="187"/>
      <c r="L46" s="187"/>
    </row>
    <row r="47" spans="1:12" ht="25.15" customHeight="1" x14ac:dyDescent="0.25">
      <c r="A47" s="98"/>
      <c r="C47" s="98"/>
      <c r="D47" s="98"/>
      <c r="E47" s="98"/>
      <c r="F47" s="98"/>
      <c r="G47" s="231"/>
      <c r="H47" s="231"/>
      <c r="J47" s="98"/>
      <c r="K47" s="187"/>
      <c r="L47" s="187"/>
    </row>
    <row r="48" spans="1:12" ht="25.15" customHeight="1" x14ac:dyDescent="0.25">
      <c r="A48" s="98"/>
      <c r="C48" s="98"/>
      <c r="D48" s="98"/>
      <c r="E48" s="98"/>
      <c r="F48" s="98"/>
      <c r="G48" s="231"/>
      <c r="H48" s="231"/>
      <c r="J48" s="98"/>
      <c r="K48" s="187"/>
      <c r="L48" s="187"/>
    </row>
    <row r="49" spans="1:12" ht="25.15" customHeight="1" x14ac:dyDescent="0.25">
      <c r="A49" s="98"/>
      <c r="C49" s="98"/>
      <c r="D49" s="98"/>
      <c r="E49" s="98"/>
      <c r="F49" s="98"/>
      <c r="G49" s="231"/>
      <c r="H49" s="231"/>
      <c r="J49" s="98"/>
      <c r="K49" s="187"/>
      <c r="L49" s="187"/>
    </row>
    <row r="50" spans="1:12" ht="25.15" customHeight="1" x14ac:dyDescent="0.25">
      <c r="A50" s="98"/>
      <c r="C50" s="98"/>
      <c r="D50" s="98"/>
      <c r="E50" s="98"/>
      <c r="F50" s="98"/>
      <c r="G50" s="231"/>
      <c r="H50" s="231"/>
      <c r="J50" s="98"/>
      <c r="K50" s="187"/>
      <c r="L50" s="187"/>
    </row>
    <row r="51" spans="1:12" ht="25.15" customHeight="1" x14ac:dyDescent="0.25">
      <c r="A51" s="98"/>
      <c r="C51" s="98"/>
      <c r="D51" s="98"/>
      <c r="E51" s="98"/>
      <c r="F51" s="98"/>
      <c r="G51" s="231"/>
      <c r="H51" s="231"/>
      <c r="J51" s="98"/>
      <c r="K51" s="187"/>
      <c r="L51" s="187"/>
    </row>
    <row r="52" spans="1:12" ht="25.15" customHeight="1" x14ac:dyDescent="0.25">
      <c r="A52" s="98"/>
      <c r="C52" s="98"/>
      <c r="D52" s="98"/>
      <c r="E52" s="98"/>
      <c r="F52" s="98"/>
      <c r="G52" s="231"/>
      <c r="H52" s="231"/>
    </row>
    <row r="53" spans="1:12" ht="25.15" customHeight="1" x14ac:dyDescent="0.25"/>
    <row r="54" spans="1:12" s="97" customFormat="1" ht="25.15" customHeight="1" x14ac:dyDescent="0.25">
      <c r="B54" s="98"/>
      <c r="G54" s="232"/>
      <c r="H54" s="232"/>
      <c r="I54" s="218"/>
      <c r="K54" s="173"/>
      <c r="L54" s="173"/>
    </row>
    <row r="62" spans="1:12" s="102" customFormat="1" ht="25.15" customHeight="1" x14ac:dyDescent="0.25">
      <c r="A62" s="103">
        <v>11</v>
      </c>
      <c r="B62" s="217" t="s">
        <v>202</v>
      </c>
      <c r="C62" s="87" t="s">
        <v>123</v>
      </c>
      <c r="D62" s="94">
        <v>10</v>
      </c>
      <c r="E62" s="199"/>
      <c r="F62" s="200"/>
      <c r="G62" s="87" t="s">
        <v>186</v>
      </c>
      <c r="H62" s="228"/>
      <c r="I62" s="214" t="s">
        <v>222</v>
      </c>
      <c r="J62" s="103">
        <f>F62+D62</f>
        <v>10</v>
      </c>
      <c r="K62" s="86">
        <v>10</v>
      </c>
      <c r="L62" s="192">
        <f>J62*K62</f>
        <v>100</v>
      </c>
    </row>
  </sheetData>
  <mergeCells count="11">
    <mergeCell ref="J17:K17"/>
    <mergeCell ref="A1:I1"/>
    <mergeCell ref="A2:I2"/>
    <mergeCell ref="A3:I3"/>
    <mergeCell ref="A4:I4"/>
    <mergeCell ref="D5:F5"/>
    <mergeCell ref="A18:I18"/>
    <mergeCell ref="D19:F19"/>
    <mergeCell ref="A33:I33"/>
    <mergeCell ref="J33:K33"/>
    <mergeCell ref="J34:K34"/>
  </mergeCells>
  <pageMargins left="0.7" right="0.7" top="0.75" bottom="0.75" header="0.3" footer="0.3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view="pageBreakPreview" zoomScale="60" zoomScaleNormal="100" workbookViewId="0">
      <selection activeCell="N19" sqref="N19"/>
    </sheetView>
  </sheetViews>
  <sheetFormatPr defaultColWidth="8.85546875" defaultRowHeight="15" x14ac:dyDescent="0.25"/>
  <cols>
    <col min="1" max="1" width="5.28515625" style="90" customWidth="1"/>
    <col min="2" max="2" width="28.7109375" style="102" bestFit="1" customWidth="1"/>
    <col min="3" max="3" width="3.42578125" style="334" hidden="1" customWidth="1"/>
    <col min="4" max="4" width="2.5703125" style="90" customWidth="1"/>
    <col min="5" max="5" width="1.7109375" style="90" customWidth="1"/>
    <col min="6" max="6" width="1.5703125" style="90" customWidth="1"/>
    <col min="7" max="7" width="2" style="90" bestFit="1" customWidth="1"/>
    <col min="8" max="8" width="2.5703125" style="90" customWidth="1"/>
    <col min="9" max="9" width="7.42578125" style="335" customWidth="1"/>
    <col min="10" max="10" width="1.42578125" style="90" customWidth="1"/>
    <col min="11" max="11" width="6.85546875" style="90" customWidth="1"/>
    <col min="12" max="12" width="1.42578125" style="90" customWidth="1"/>
    <col min="13" max="13" width="6.5703125" style="90" customWidth="1"/>
    <col min="14" max="14" width="14.7109375" style="90" customWidth="1"/>
    <col min="15" max="15" width="21.28515625" style="90" bestFit="1" customWidth="1"/>
    <col min="16" max="16" width="12.140625" style="90" customWidth="1"/>
    <col min="17" max="17" width="4.42578125" style="90" customWidth="1"/>
    <col min="18" max="18" width="13.28515625" style="90" customWidth="1"/>
    <col min="19" max="19" width="11.140625" style="90" customWidth="1"/>
    <col min="20" max="20" width="6.5703125" style="90" bestFit="1" customWidth="1"/>
    <col min="21" max="22" width="5.7109375" style="90" bestFit="1" customWidth="1"/>
    <col min="23" max="23" width="6.7109375" style="90" bestFit="1" customWidth="1"/>
    <col min="24" max="24" width="9.42578125" style="90" customWidth="1"/>
    <col min="25" max="25" width="5" style="90" bestFit="1" customWidth="1"/>
    <col min="26" max="26" width="12.7109375" style="90" bestFit="1" customWidth="1"/>
    <col min="27" max="27" width="7.5703125" style="102" customWidth="1"/>
    <col min="28" max="16384" width="8.85546875" style="102"/>
  </cols>
  <sheetData>
    <row r="1" spans="1:26" ht="25.15" customHeight="1" thickTop="1" x14ac:dyDescent="0.25">
      <c r="A1" s="450" t="s">
        <v>0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2"/>
      <c r="O1" s="452"/>
      <c r="P1" s="452"/>
      <c r="Q1" s="452"/>
      <c r="R1" s="453"/>
    </row>
    <row r="2" spans="1:26" ht="25.15" customHeight="1" x14ac:dyDescent="0.25">
      <c r="A2" s="454" t="s">
        <v>300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6"/>
      <c r="O2" s="456"/>
      <c r="P2" s="456"/>
      <c r="Q2" s="456"/>
      <c r="R2" s="457"/>
    </row>
    <row r="3" spans="1:26" ht="25.15" customHeight="1" x14ac:dyDescent="0.35">
      <c r="A3" s="458" t="s">
        <v>290</v>
      </c>
      <c r="B3" s="459"/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60"/>
    </row>
    <row r="4" spans="1:26" ht="25.15" customHeight="1" thickBot="1" x14ac:dyDescent="0.45">
      <c r="A4" s="461" t="s">
        <v>223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3"/>
      <c r="O4" s="463"/>
      <c r="P4" s="463"/>
      <c r="Q4" s="463"/>
      <c r="R4" s="464"/>
    </row>
    <row r="5" spans="1:26" ht="24.75" customHeight="1" thickTop="1" x14ac:dyDescent="0.25">
      <c r="A5" s="274" t="s">
        <v>1</v>
      </c>
      <c r="B5" s="275" t="s">
        <v>2</v>
      </c>
      <c r="C5" s="311" t="s">
        <v>3</v>
      </c>
      <c r="D5" s="465" t="s">
        <v>18</v>
      </c>
      <c r="E5" s="466"/>
      <c r="F5" s="466"/>
      <c r="G5" s="466"/>
      <c r="H5" s="466"/>
      <c r="I5" s="467" t="s">
        <v>4</v>
      </c>
      <c r="J5" s="468"/>
      <c r="K5" s="468"/>
      <c r="L5" s="468"/>
      <c r="M5" s="469"/>
      <c r="N5" s="276" t="s">
        <v>224</v>
      </c>
      <c r="O5" s="312" t="s">
        <v>225</v>
      </c>
      <c r="P5" s="313" t="s">
        <v>226</v>
      </c>
      <c r="Q5" s="470" t="s">
        <v>5</v>
      </c>
      <c r="R5" s="471"/>
      <c r="S5" s="314" t="s">
        <v>6</v>
      </c>
      <c r="T5" s="315" t="s">
        <v>7</v>
      </c>
      <c r="U5" s="315" t="s">
        <v>8</v>
      </c>
      <c r="V5" s="315" t="s">
        <v>9</v>
      </c>
      <c r="W5" s="315" t="s">
        <v>10</v>
      </c>
      <c r="X5" s="316" t="s">
        <v>227</v>
      </c>
      <c r="Y5" s="315" t="s">
        <v>11</v>
      </c>
      <c r="Z5" s="317" t="s">
        <v>12</v>
      </c>
    </row>
    <row r="6" spans="1:26" ht="25.15" customHeight="1" x14ac:dyDescent="0.25">
      <c r="A6" s="103">
        <v>1</v>
      </c>
      <c r="B6" s="250" t="s">
        <v>228</v>
      </c>
      <c r="C6" s="70" t="s">
        <v>24</v>
      </c>
      <c r="D6" s="318"/>
      <c r="E6" s="319"/>
      <c r="F6" s="199"/>
      <c r="G6" s="320">
        <v>3</v>
      </c>
      <c r="H6" s="321" t="s">
        <v>229</v>
      </c>
      <c r="I6" s="251"/>
      <c r="J6" s="85" t="s">
        <v>230</v>
      </c>
      <c r="K6" s="85">
        <v>45</v>
      </c>
      <c r="L6" s="85" t="s">
        <v>20</v>
      </c>
      <c r="M6" s="252">
        <v>26</v>
      </c>
      <c r="N6" s="201" t="s">
        <v>231</v>
      </c>
      <c r="O6" s="85" t="s">
        <v>232</v>
      </c>
      <c r="P6" s="87" t="s">
        <v>233</v>
      </c>
      <c r="Q6" s="443"/>
      <c r="R6" s="444"/>
      <c r="S6" s="99">
        <f>K6+5</f>
        <v>50</v>
      </c>
      <c r="T6" s="86">
        <f>K6+5</f>
        <v>50</v>
      </c>
      <c r="U6" s="86"/>
      <c r="V6" s="87">
        <f>D6+G6</f>
        <v>3</v>
      </c>
      <c r="W6" s="92">
        <f>SUM(3.14*(S6*S6)/4*T6*8/1000000)</f>
        <v>0.78500000000000003</v>
      </c>
      <c r="X6" s="86">
        <f>SUM(V6*W6)</f>
        <v>2.355</v>
      </c>
      <c r="Y6" s="87">
        <v>1100</v>
      </c>
      <c r="Z6" s="192">
        <f>SUM(X6*Y6)</f>
        <v>2590.5</v>
      </c>
    </row>
    <row r="7" spans="1:26" ht="25.15" customHeight="1" x14ac:dyDescent="0.25">
      <c r="A7" s="103">
        <v>2</v>
      </c>
      <c r="B7" s="250" t="s">
        <v>234</v>
      </c>
      <c r="C7" s="70" t="s">
        <v>24</v>
      </c>
      <c r="D7" s="318">
        <v>3</v>
      </c>
      <c r="E7" s="319" t="s">
        <v>235</v>
      </c>
      <c r="F7" s="199" t="s">
        <v>26</v>
      </c>
      <c r="G7" s="320">
        <v>3</v>
      </c>
      <c r="H7" s="321" t="s">
        <v>229</v>
      </c>
      <c r="I7" s="251">
        <v>60</v>
      </c>
      <c r="J7" s="85" t="s">
        <v>20</v>
      </c>
      <c r="K7" s="85">
        <v>50</v>
      </c>
      <c r="L7" s="85" t="s">
        <v>20</v>
      </c>
      <c r="M7" s="252">
        <v>12</v>
      </c>
      <c r="N7" s="201" t="s">
        <v>236</v>
      </c>
      <c r="O7" s="85" t="s">
        <v>237</v>
      </c>
      <c r="P7" s="87" t="s">
        <v>238</v>
      </c>
      <c r="Q7" s="443"/>
      <c r="R7" s="444"/>
      <c r="S7" s="99">
        <f t="shared" ref="S7:S12" si="0">I7+5</f>
        <v>65</v>
      </c>
      <c r="T7" s="86">
        <f t="shared" ref="T7:T12" si="1">K7+5</f>
        <v>55</v>
      </c>
      <c r="U7" s="86">
        <f t="shared" ref="U7:U12" si="2">M7</f>
        <v>12</v>
      </c>
      <c r="V7" s="87">
        <f t="shared" ref="V7:V12" si="3">D7+G7</f>
        <v>6</v>
      </c>
      <c r="W7" s="86">
        <f t="shared" ref="W7:W12" si="4">SUM(S7*T7*U7)*9/1000000</f>
        <v>0.3861</v>
      </c>
      <c r="X7" s="86">
        <f t="shared" ref="X7:X12" si="5">SUM(V7*W7)</f>
        <v>2.3166000000000002</v>
      </c>
      <c r="Y7" s="87">
        <v>1100</v>
      </c>
      <c r="Z7" s="192">
        <f t="shared" ref="Z7:Z8" si="6">SUM(X7*Y7)</f>
        <v>2548.2600000000002</v>
      </c>
    </row>
    <row r="8" spans="1:26" ht="25.15" customHeight="1" x14ac:dyDescent="0.25">
      <c r="A8" s="103">
        <v>3</v>
      </c>
      <c r="B8" s="250" t="s">
        <v>307</v>
      </c>
      <c r="C8" s="70" t="s">
        <v>24</v>
      </c>
      <c r="D8" s="318">
        <v>3</v>
      </c>
      <c r="E8" s="319" t="s">
        <v>235</v>
      </c>
      <c r="F8" s="199" t="s">
        <v>26</v>
      </c>
      <c r="G8" s="320">
        <v>3</v>
      </c>
      <c r="H8" s="321" t="s">
        <v>229</v>
      </c>
      <c r="I8" s="251">
        <v>60</v>
      </c>
      <c r="J8" s="85" t="s">
        <v>20</v>
      </c>
      <c r="K8" s="85">
        <v>50</v>
      </c>
      <c r="L8" s="85" t="s">
        <v>20</v>
      </c>
      <c r="M8" s="252">
        <v>12</v>
      </c>
      <c r="N8" s="201" t="s">
        <v>236</v>
      </c>
      <c r="O8" s="85" t="s">
        <v>308</v>
      </c>
      <c r="P8" s="87" t="s">
        <v>238</v>
      </c>
      <c r="Q8" s="443"/>
      <c r="R8" s="444"/>
      <c r="S8" s="99">
        <f t="shared" si="0"/>
        <v>65</v>
      </c>
      <c r="T8" s="86">
        <f t="shared" si="1"/>
        <v>55</v>
      </c>
      <c r="U8" s="86">
        <f t="shared" si="2"/>
        <v>12</v>
      </c>
      <c r="V8" s="87">
        <f t="shared" si="3"/>
        <v>6</v>
      </c>
      <c r="W8" s="86">
        <f t="shared" ref="W8" si="7">SUM(S8*T8*U8)*9/1000000</f>
        <v>0.3861</v>
      </c>
      <c r="X8" s="86">
        <f t="shared" si="5"/>
        <v>2.3166000000000002</v>
      </c>
      <c r="Y8" s="87">
        <v>1100</v>
      </c>
      <c r="Z8" s="192">
        <f t="shared" si="6"/>
        <v>2548.2600000000002</v>
      </c>
    </row>
    <row r="9" spans="1:26" ht="25.15" customHeight="1" x14ac:dyDescent="0.25">
      <c r="A9" s="103">
        <v>4</v>
      </c>
      <c r="B9" s="250" t="s">
        <v>312</v>
      </c>
      <c r="C9" s="70" t="s">
        <v>24</v>
      </c>
      <c r="D9" s="318">
        <v>3</v>
      </c>
      <c r="E9" s="319" t="s">
        <v>235</v>
      </c>
      <c r="F9" s="199" t="s">
        <v>26</v>
      </c>
      <c r="G9" s="320">
        <v>3</v>
      </c>
      <c r="H9" s="321" t="s">
        <v>229</v>
      </c>
      <c r="I9" s="251">
        <v>70</v>
      </c>
      <c r="J9" s="85" t="s">
        <v>20</v>
      </c>
      <c r="K9" s="85">
        <v>50</v>
      </c>
      <c r="L9" s="85" t="s">
        <v>20</v>
      </c>
      <c r="M9" s="252">
        <v>12</v>
      </c>
      <c r="N9" s="201" t="s">
        <v>236</v>
      </c>
      <c r="O9" s="85" t="s">
        <v>237</v>
      </c>
      <c r="P9" s="87" t="s">
        <v>238</v>
      </c>
      <c r="Q9" s="443"/>
      <c r="R9" s="444"/>
      <c r="S9" s="99">
        <f t="shared" ref="S9" si="8">I9+5</f>
        <v>75</v>
      </c>
      <c r="T9" s="86">
        <f t="shared" ref="T9" si="9">K9+5</f>
        <v>55</v>
      </c>
      <c r="U9" s="86">
        <f t="shared" ref="U9" si="10">M9</f>
        <v>12</v>
      </c>
      <c r="V9" s="87">
        <f t="shared" ref="V9" si="11">D9+G9</f>
        <v>6</v>
      </c>
      <c r="W9" s="86">
        <f t="shared" ref="W9" si="12">SUM(S9*T9*U9)*9/1000000</f>
        <v>0.44550000000000001</v>
      </c>
      <c r="X9" s="86">
        <f t="shared" ref="X9" si="13">SUM(V9*W9)</f>
        <v>2.673</v>
      </c>
      <c r="Y9" s="87">
        <v>1100</v>
      </c>
      <c r="Z9" s="192">
        <f t="shared" ref="Z9" si="14">SUM(X9*Y9)</f>
        <v>2940.3</v>
      </c>
    </row>
    <row r="10" spans="1:26" ht="25.15" customHeight="1" x14ac:dyDescent="0.25">
      <c r="A10" s="103">
        <v>5</v>
      </c>
      <c r="B10" s="250" t="s">
        <v>309</v>
      </c>
      <c r="C10" s="70" t="s">
        <v>24</v>
      </c>
      <c r="D10" s="318">
        <v>2</v>
      </c>
      <c r="E10" s="319" t="s">
        <v>235</v>
      </c>
      <c r="F10" s="199" t="s">
        <v>26</v>
      </c>
      <c r="G10" s="320">
        <v>3</v>
      </c>
      <c r="H10" s="321" t="s">
        <v>229</v>
      </c>
      <c r="I10" s="251">
        <v>60</v>
      </c>
      <c r="J10" s="85" t="s">
        <v>20</v>
      </c>
      <c r="K10" s="85">
        <v>50</v>
      </c>
      <c r="L10" s="85" t="s">
        <v>20</v>
      </c>
      <c r="M10" s="252">
        <v>12</v>
      </c>
      <c r="N10" s="201" t="s">
        <v>236</v>
      </c>
      <c r="O10" s="85" t="s">
        <v>310</v>
      </c>
      <c r="P10" s="87" t="s">
        <v>238</v>
      </c>
      <c r="Q10" s="443"/>
      <c r="R10" s="444"/>
      <c r="S10" s="99">
        <f t="shared" ref="S10" si="15">I10+5</f>
        <v>65</v>
      </c>
      <c r="T10" s="86">
        <f t="shared" ref="T10" si="16">K10+5</f>
        <v>55</v>
      </c>
      <c r="U10" s="86">
        <f t="shared" ref="U10" si="17">M10</f>
        <v>12</v>
      </c>
      <c r="V10" s="87">
        <f t="shared" ref="V10" si="18">D10+G10</f>
        <v>5</v>
      </c>
      <c r="W10" s="86">
        <f t="shared" ref="W10" si="19">SUM(S10*T10*U10)*9/1000000</f>
        <v>0.3861</v>
      </c>
      <c r="X10" s="86">
        <f t="shared" ref="X10" si="20">SUM(V10*W10)</f>
        <v>1.9304999999999999</v>
      </c>
      <c r="Y10" s="87">
        <v>1100</v>
      </c>
      <c r="Z10" s="192">
        <f t="shared" ref="Z10" si="21">SUM(X10*Y10)</f>
        <v>2123.5499999999997</v>
      </c>
    </row>
    <row r="11" spans="1:26" ht="25.15" customHeight="1" x14ac:dyDescent="0.25">
      <c r="A11" s="103">
        <v>6</v>
      </c>
      <c r="B11" s="250" t="s">
        <v>311</v>
      </c>
      <c r="C11" s="70" t="s">
        <v>24</v>
      </c>
      <c r="D11" s="318">
        <v>2</v>
      </c>
      <c r="E11" s="319" t="s">
        <v>235</v>
      </c>
      <c r="F11" s="199" t="s">
        <v>26</v>
      </c>
      <c r="G11" s="320">
        <v>3</v>
      </c>
      <c r="H11" s="321" t="s">
        <v>229</v>
      </c>
      <c r="I11" s="251">
        <v>60</v>
      </c>
      <c r="J11" s="85" t="s">
        <v>20</v>
      </c>
      <c r="K11" s="85">
        <v>50</v>
      </c>
      <c r="L11" s="85" t="s">
        <v>20</v>
      </c>
      <c r="M11" s="252">
        <v>12</v>
      </c>
      <c r="N11" s="201" t="s">
        <v>236</v>
      </c>
      <c r="O11" s="85" t="s">
        <v>310</v>
      </c>
      <c r="P11" s="87" t="s">
        <v>238</v>
      </c>
      <c r="Q11" s="443"/>
      <c r="R11" s="444"/>
      <c r="S11" s="99">
        <f t="shared" ref="S11" si="22">I11+5</f>
        <v>65</v>
      </c>
      <c r="T11" s="86">
        <f t="shared" ref="T11" si="23">K11+5</f>
        <v>55</v>
      </c>
      <c r="U11" s="86">
        <f t="shared" ref="U11" si="24">M11</f>
        <v>12</v>
      </c>
      <c r="V11" s="87">
        <f t="shared" ref="V11" si="25">D11+G11</f>
        <v>5</v>
      </c>
      <c r="W11" s="86">
        <f t="shared" ref="W11" si="26">SUM(S11*T11*U11)*9/1000000</f>
        <v>0.3861</v>
      </c>
      <c r="X11" s="86">
        <f t="shared" ref="X11" si="27">SUM(V11*W11)</f>
        <v>1.9304999999999999</v>
      </c>
      <c r="Y11" s="87">
        <v>1100</v>
      </c>
      <c r="Z11" s="192">
        <f t="shared" ref="Z11" si="28">SUM(X11*Y11)</f>
        <v>2123.5499999999997</v>
      </c>
    </row>
    <row r="12" spans="1:26" ht="25.15" customHeight="1" x14ac:dyDescent="0.25">
      <c r="A12" s="103">
        <v>7</v>
      </c>
      <c r="B12" s="250" t="s">
        <v>239</v>
      </c>
      <c r="C12" s="70" t="s">
        <v>24</v>
      </c>
      <c r="D12" s="318"/>
      <c r="E12" s="319"/>
      <c r="F12" s="199" t="s">
        <v>26</v>
      </c>
      <c r="G12" s="320">
        <v>3</v>
      </c>
      <c r="H12" s="321" t="s">
        <v>229</v>
      </c>
      <c r="I12" s="251"/>
      <c r="J12" s="85" t="s">
        <v>20</v>
      </c>
      <c r="K12" s="85"/>
      <c r="L12" s="85" t="s">
        <v>20</v>
      </c>
      <c r="M12" s="252"/>
      <c r="N12" s="201" t="s">
        <v>313</v>
      </c>
      <c r="O12" s="85" t="s">
        <v>240</v>
      </c>
      <c r="P12" s="87" t="s">
        <v>238</v>
      </c>
      <c r="Q12" s="445" t="s">
        <v>241</v>
      </c>
      <c r="R12" s="446"/>
      <c r="S12" s="99">
        <f t="shared" si="0"/>
        <v>5</v>
      </c>
      <c r="T12" s="86">
        <f t="shared" si="1"/>
        <v>5</v>
      </c>
      <c r="U12" s="86">
        <f t="shared" si="2"/>
        <v>0</v>
      </c>
      <c r="V12" s="87">
        <f t="shared" si="3"/>
        <v>3</v>
      </c>
      <c r="W12" s="86">
        <f t="shared" si="4"/>
        <v>0</v>
      </c>
      <c r="X12" s="86">
        <f t="shared" si="5"/>
        <v>0</v>
      </c>
      <c r="Y12" s="87">
        <v>1100</v>
      </c>
      <c r="Z12" s="192"/>
    </row>
    <row r="13" spans="1:26" ht="25.15" customHeight="1" x14ac:dyDescent="0.25">
      <c r="A13" s="103"/>
      <c r="B13" s="250"/>
      <c r="C13" s="70"/>
      <c r="D13" s="318"/>
      <c r="E13" s="320"/>
      <c r="F13" s="199"/>
      <c r="G13" s="320"/>
      <c r="H13" s="321"/>
      <c r="I13" s="251"/>
      <c r="J13" s="85"/>
      <c r="K13" s="85"/>
      <c r="L13" s="85"/>
      <c r="M13" s="252"/>
      <c r="N13" s="322"/>
      <c r="O13" s="323"/>
      <c r="P13" s="87"/>
      <c r="Q13" s="443"/>
      <c r="R13" s="444"/>
      <c r="S13" s="99"/>
      <c r="T13" s="86"/>
      <c r="U13" s="86"/>
      <c r="V13" s="87"/>
      <c r="W13" s="86"/>
      <c r="X13" s="86"/>
      <c r="Y13" s="87"/>
      <c r="Z13" s="192"/>
    </row>
    <row r="14" spans="1:26" s="327" customFormat="1" ht="25.15" customHeight="1" thickBot="1" x14ac:dyDescent="0.3">
      <c r="A14" s="447" t="s">
        <v>314</v>
      </c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9"/>
      <c r="S14" s="324"/>
      <c r="T14" s="325"/>
      <c r="U14" s="325"/>
      <c r="V14" s="217"/>
      <c r="W14" s="325"/>
      <c r="X14" s="325"/>
      <c r="Y14" s="217"/>
      <c r="Z14" s="326"/>
    </row>
    <row r="15" spans="1:26" ht="25.15" customHeight="1" thickTop="1" thickBot="1" x14ac:dyDescent="0.3">
      <c r="A15" s="438" t="s">
        <v>242</v>
      </c>
      <c r="B15" s="439"/>
      <c r="C15" s="329" t="s">
        <v>243</v>
      </c>
      <c r="D15" s="330"/>
      <c r="E15" s="330"/>
      <c r="F15" s="328"/>
      <c r="G15" s="330"/>
      <c r="H15" s="330"/>
      <c r="I15" s="329" t="s">
        <v>289</v>
      </c>
      <c r="J15" s="330"/>
      <c r="K15" s="330"/>
      <c r="L15" s="330"/>
      <c r="M15" s="331"/>
      <c r="N15" s="330"/>
      <c r="O15" s="331"/>
      <c r="P15" s="439" t="s">
        <v>244</v>
      </c>
      <c r="Q15" s="439"/>
      <c r="R15" s="440"/>
      <c r="S15" s="441" t="s">
        <v>245</v>
      </c>
      <c r="T15" s="442"/>
      <c r="U15" s="442"/>
      <c r="V15" s="442"/>
      <c r="W15" s="442"/>
      <c r="X15" s="442"/>
      <c r="Y15" s="332"/>
      <c r="Z15" s="333">
        <f>SUM(Z6:Z14)</f>
        <v>14874.419999999998</v>
      </c>
    </row>
    <row r="16" spans="1:26" ht="25.15" customHeight="1" thickTop="1" x14ac:dyDescent="0.25">
      <c r="B16" s="90"/>
      <c r="W16" s="102"/>
      <c r="X16" s="102"/>
      <c r="Y16" s="102"/>
      <c r="Z16" s="102"/>
    </row>
    <row r="17" spans="2:26" x14ac:dyDescent="0.25">
      <c r="B17" s="90"/>
      <c r="W17" s="102"/>
      <c r="X17" s="102"/>
      <c r="Y17" s="102"/>
      <c r="Z17" s="102"/>
    </row>
    <row r="18" spans="2:26" x14ac:dyDescent="0.25">
      <c r="B18" s="90"/>
      <c r="W18" s="102"/>
      <c r="X18" s="102"/>
      <c r="Y18" s="102"/>
      <c r="Z18" s="102"/>
    </row>
    <row r="19" spans="2:26" x14ac:dyDescent="0.25">
      <c r="B19" s="90"/>
      <c r="W19" s="102"/>
      <c r="X19" s="102"/>
      <c r="Y19" s="102"/>
      <c r="Z19" s="102"/>
    </row>
    <row r="20" spans="2:26" x14ac:dyDescent="0.25">
      <c r="B20" s="90"/>
      <c r="S20" s="336"/>
      <c r="W20" s="102"/>
      <c r="X20" s="102"/>
      <c r="Y20" s="102"/>
      <c r="Z20" s="102"/>
    </row>
    <row r="21" spans="2:26" x14ac:dyDescent="0.25">
      <c r="B21" s="90"/>
      <c r="W21" s="102"/>
      <c r="X21" s="102"/>
      <c r="Y21" s="102"/>
      <c r="Z21" s="102"/>
    </row>
    <row r="22" spans="2:26" x14ac:dyDescent="0.25">
      <c r="B22" s="90"/>
      <c r="W22" s="102"/>
      <c r="X22" s="102"/>
      <c r="Y22" s="102"/>
      <c r="Z22" s="102"/>
    </row>
    <row r="23" spans="2:26" x14ac:dyDescent="0.25">
      <c r="B23" s="90"/>
      <c r="K23" s="90" t="s">
        <v>246</v>
      </c>
      <c r="W23" s="102"/>
      <c r="X23" s="102"/>
      <c r="Y23" s="102"/>
      <c r="Z23" s="102"/>
    </row>
    <row r="24" spans="2:26" x14ac:dyDescent="0.25">
      <c r="B24" s="90"/>
      <c r="W24" s="102"/>
      <c r="X24" s="102"/>
      <c r="Y24" s="102"/>
      <c r="Z24" s="102"/>
    </row>
    <row r="25" spans="2:26" x14ac:dyDescent="0.25">
      <c r="B25" s="90"/>
      <c r="W25" s="102"/>
      <c r="X25" s="102"/>
      <c r="Y25" s="102"/>
      <c r="Z25" s="102"/>
    </row>
    <row r="26" spans="2:26" x14ac:dyDescent="0.25">
      <c r="B26" s="90"/>
      <c r="W26" s="102"/>
      <c r="X26" s="102"/>
      <c r="Y26" s="102"/>
      <c r="Z26" s="102"/>
    </row>
    <row r="27" spans="2:26" x14ac:dyDescent="0.25">
      <c r="B27" s="90"/>
      <c r="W27" s="102"/>
      <c r="X27" s="102"/>
      <c r="Y27" s="102"/>
      <c r="Z27" s="102"/>
    </row>
    <row r="28" spans="2:26" x14ac:dyDescent="0.25">
      <c r="B28" s="90"/>
      <c r="W28" s="102"/>
      <c r="X28" s="102"/>
      <c r="Y28" s="102"/>
      <c r="Z28" s="102"/>
    </row>
    <row r="50" spans="1:27" ht="25.15" customHeight="1" x14ac:dyDescent="0.25">
      <c r="A50" s="103">
        <v>1</v>
      </c>
      <c r="B50" s="250" t="s">
        <v>247</v>
      </c>
      <c r="C50" s="70" t="s">
        <v>24</v>
      </c>
      <c r="D50" s="318"/>
      <c r="E50" s="337"/>
      <c r="F50" s="338"/>
      <c r="G50" s="320">
        <v>1</v>
      </c>
      <c r="H50" s="321" t="s">
        <v>229</v>
      </c>
      <c r="I50" s="251"/>
      <c r="J50" s="339" t="s">
        <v>248</v>
      </c>
      <c r="K50" s="85">
        <v>52</v>
      </c>
      <c r="L50" s="85" t="s">
        <v>20</v>
      </c>
      <c r="M50" s="252">
        <v>26</v>
      </c>
      <c r="N50" s="322" t="s">
        <v>249</v>
      </c>
      <c r="O50" s="85" t="s">
        <v>250</v>
      </c>
      <c r="P50" s="87" t="s">
        <v>233</v>
      </c>
      <c r="Q50" s="102"/>
      <c r="R50" s="340"/>
      <c r="S50" s="99">
        <f>K50+5</f>
        <v>57</v>
      </c>
      <c r="T50" s="86">
        <f>K50+5</f>
        <v>57</v>
      </c>
      <c r="U50" s="86"/>
      <c r="V50" s="87">
        <f>D50+G50</f>
        <v>1</v>
      </c>
      <c r="W50" s="92">
        <f>SUM(3.14*(S50*S50)/4*T50*8/1000000)</f>
        <v>1.1630120400000001</v>
      </c>
      <c r="X50" s="86">
        <f>SUM(V50*W50)</f>
        <v>1.1630120400000001</v>
      </c>
      <c r="Y50" s="87">
        <v>1000</v>
      </c>
      <c r="Z50" s="192">
        <f>SUM(X50*Y50)</f>
        <v>1163.0120400000001</v>
      </c>
      <c r="AA50" s="90"/>
    </row>
  </sheetData>
  <mergeCells count="19">
    <mergeCell ref="A1:R1"/>
    <mergeCell ref="A2:R2"/>
    <mergeCell ref="A3:R3"/>
    <mergeCell ref="A4:R4"/>
    <mergeCell ref="D5:H5"/>
    <mergeCell ref="I5:M5"/>
    <mergeCell ref="Q5:R5"/>
    <mergeCell ref="A15:B15"/>
    <mergeCell ref="P15:R15"/>
    <mergeCell ref="S15:X15"/>
    <mergeCell ref="Q6:R6"/>
    <mergeCell ref="Q7:R7"/>
    <mergeCell ref="Q8:R8"/>
    <mergeCell ref="Q12:R12"/>
    <mergeCell ref="Q13:R13"/>
    <mergeCell ref="A14:R14"/>
    <mergeCell ref="Q9:R9"/>
    <mergeCell ref="Q10:R10"/>
    <mergeCell ref="Q11:R11"/>
  </mergeCells>
  <pageMargins left="0.7" right="0.7" top="0.75" bottom="0.75" header="0.3" footer="0.3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7" sqref="B7"/>
    </sheetView>
  </sheetViews>
  <sheetFormatPr defaultRowHeight="15" x14ac:dyDescent="0.25"/>
  <cols>
    <col min="2" max="2" width="68" customWidth="1"/>
    <col min="3" max="3" width="17.85546875" bestFit="1" customWidth="1"/>
    <col min="4" max="4" width="14.5703125" customWidth="1"/>
  </cols>
  <sheetData>
    <row r="1" spans="1:5" ht="30" customHeight="1" x14ac:dyDescent="0.25">
      <c r="B1" t="s">
        <v>315</v>
      </c>
    </row>
    <row r="2" spans="1:5" x14ac:dyDescent="0.25">
      <c r="A2" s="341" t="s">
        <v>302</v>
      </c>
      <c r="B2" s="342" t="s">
        <v>303</v>
      </c>
      <c r="C2" s="342" t="s">
        <v>304</v>
      </c>
      <c r="D2" s="342" t="s">
        <v>305</v>
      </c>
      <c r="E2" s="342"/>
    </row>
    <row r="3" spans="1:5" x14ac:dyDescent="0.25">
      <c r="A3">
        <v>1</v>
      </c>
      <c r="B3" t="s">
        <v>306</v>
      </c>
      <c r="C3" s="343" t="s">
        <v>316</v>
      </c>
    </row>
    <row r="4" spans="1:5" x14ac:dyDescent="0.25">
      <c r="A4">
        <v>2</v>
      </c>
      <c r="B4" t="s">
        <v>317</v>
      </c>
      <c r="C4" s="343" t="s">
        <v>318</v>
      </c>
    </row>
    <row r="5" spans="1:5" x14ac:dyDescent="0.25">
      <c r="C5" s="343"/>
    </row>
    <row r="6" spans="1:5" x14ac:dyDescent="0.25">
      <c r="C6" s="343"/>
    </row>
    <row r="7" spans="1:5" x14ac:dyDescent="0.25">
      <c r="C7" s="343"/>
    </row>
    <row r="8" spans="1:5" x14ac:dyDescent="0.25">
      <c r="C8" s="3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8:AF22"/>
  <sheetViews>
    <sheetView workbookViewId="0">
      <selection activeCell="K25" sqref="K25"/>
    </sheetView>
  </sheetViews>
  <sheetFormatPr defaultRowHeight="15" x14ac:dyDescent="0.25"/>
  <sheetData>
    <row r="8" spans="1:32" s="11" customFormat="1" ht="25.15" customHeight="1" x14ac:dyDescent="0.25">
      <c r="A8" s="67">
        <v>10</v>
      </c>
      <c r="B8" s="73" t="s">
        <v>60</v>
      </c>
      <c r="C8" s="71" t="s">
        <v>21</v>
      </c>
      <c r="D8" s="70" t="s">
        <v>21</v>
      </c>
      <c r="E8" s="65">
        <v>1</v>
      </c>
      <c r="F8" s="13"/>
      <c r="G8" s="41"/>
      <c r="H8" s="42">
        <v>740</v>
      </c>
      <c r="I8" s="28" t="s">
        <v>20</v>
      </c>
      <c r="J8" s="47">
        <v>55</v>
      </c>
      <c r="K8" s="28" t="s">
        <v>20</v>
      </c>
      <c r="L8" s="44">
        <v>3</v>
      </c>
      <c r="M8" s="47"/>
      <c r="N8" s="20" t="s">
        <v>47</v>
      </c>
      <c r="O8" s="39">
        <f>H8+5</f>
        <v>745</v>
      </c>
      <c r="P8" s="40">
        <f>J8+5</f>
        <v>60</v>
      </c>
      <c r="Q8" s="40">
        <f>L8+5</f>
        <v>8</v>
      </c>
      <c r="R8" s="38">
        <f>E8+G8</f>
        <v>1</v>
      </c>
      <c r="S8" s="40">
        <f>SUM(O8*P8*Q8)*3/1000000</f>
        <v>1.0728</v>
      </c>
      <c r="T8" s="40">
        <f>SUM(R8*S8)</f>
        <v>1.0728</v>
      </c>
      <c r="U8" s="38">
        <v>500</v>
      </c>
      <c r="V8" s="43">
        <f>SUM(T8*U8)</f>
        <v>536.4</v>
      </c>
      <c r="W8" s="78">
        <v>3</v>
      </c>
      <c r="AB8" s="45"/>
      <c r="AC8" s="45"/>
      <c r="AD8" s="45"/>
    </row>
    <row r="9" spans="1:32" s="11" customFormat="1" ht="25.15" customHeight="1" x14ac:dyDescent="0.25">
      <c r="A9" s="10"/>
      <c r="C9" s="18"/>
      <c r="D9" s="18"/>
      <c r="E9" s="10"/>
      <c r="F9" s="10"/>
      <c r="G9" s="10"/>
      <c r="H9" s="12"/>
      <c r="I9" s="19"/>
      <c r="J9" s="10"/>
      <c r="K9" s="19"/>
      <c r="L9" s="19"/>
      <c r="M9" s="19"/>
      <c r="N9" s="10"/>
      <c r="O9" s="10"/>
      <c r="P9" s="10"/>
      <c r="Q9" s="10"/>
      <c r="R9" s="10"/>
      <c r="S9" s="10"/>
      <c r="T9" s="10"/>
      <c r="U9" s="10"/>
      <c r="V9" s="10"/>
      <c r="W9" s="78"/>
    </row>
    <row r="10" spans="1:32" s="11" customFormat="1" ht="25.15" customHeight="1" x14ac:dyDescent="0.25">
      <c r="A10" s="67">
        <v>8</v>
      </c>
      <c r="B10" s="73" t="s">
        <v>59</v>
      </c>
      <c r="C10" s="71" t="s">
        <v>21</v>
      </c>
      <c r="D10" s="70" t="s">
        <v>22</v>
      </c>
      <c r="E10" s="65">
        <v>3</v>
      </c>
      <c r="F10" s="13"/>
      <c r="G10" s="41"/>
      <c r="H10" s="68"/>
      <c r="I10" s="76" t="s">
        <v>44</v>
      </c>
      <c r="J10" s="47">
        <v>15</v>
      </c>
      <c r="K10" s="28" t="s">
        <v>20</v>
      </c>
      <c r="L10" s="44">
        <v>100</v>
      </c>
      <c r="M10" s="47"/>
      <c r="N10" s="20"/>
      <c r="O10" s="39">
        <f>J10+5</f>
        <v>20</v>
      </c>
      <c r="P10" s="40">
        <f>L10+5</f>
        <v>105</v>
      </c>
      <c r="Q10" s="40"/>
      <c r="R10" s="38">
        <f>E10+G10</f>
        <v>3</v>
      </c>
      <c r="S10" s="15">
        <f>SUM(3.14*(O10*O10)/4*P10*W10/1000000)</f>
        <v>0.26375999999999999</v>
      </c>
      <c r="T10" s="40">
        <f>SUM(R10*S10)</f>
        <v>0.79127999999999998</v>
      </c>
      <c r="U10" s="38">
        <v>465</v>
      </c>
      <c r="V10" s="43">
        <f>SUM(T10*U10)</f>
        <v>367.9452</v>
      </c>
      <c r="W10" s="78">
        <v>8</v>
      </c>
      <c r="AB10" s="45"/>
      <c r="AC10" s="45"/>
      <c r="AD10" s="45"/>
      <c r="AF10" s="45"/>
    </row>
    <row r="11" spans="1:32" s="11" customFormat="1" ht="25.15" customHeight="1" x14ac:dyDescent="0.25">
      <c r="A11" s="10"/>
      <c r="B11" s="10"/>
      <c r="C11" s="18"/>
      <c r="D11" s="18"/>
      <c r="E11" s="10"/>
      <c r="F11" s="10"/>
      <c r="G11" s="10"/>
      <c r="H11" s="12"/>
      <c r="I11" s="19"/>
      <c r="J11" s="10"/>
      <c r="K11" s="19"/>
      <c r="L11" s="19"/>
      <c r="M11" s="19"/>
      <c r="N11" s="10"/>
      <c r="O11" s="10"/>
      <c r="P11" s="10"/>
      <c r="Q11" s="10"/>
      <c r="R11" s="10"/>
      <c r="W11" s="78"/>
    </row>
    <row r="12" spans="1:32" s="11" customFormat="1" x14ac:dyDescent="0.25">
      <c r="A12" s="10"/>
      <c r="B12" s="10"/>
      <c r="C12" s="18"/>
      <c r="D12" s="18"/>
      <c r="E12" s="10"/>
      <c r="F12" s="10"/>
      <c r="G12" s="10"/>
      <c r="H12" s="12"/>
      <c r="I12" s="19"/>
      <c r="J12" s="10"/>
      <c r="K12" s="19"/>
      <c r="L12" s="19"/>
      <c r="M12" s="19"/>
      <c r="N12" s="10"/>
      <c r="O12" s="10"/>
      <c r="P12" s="10"/>
      <c r="Q12" s="10"/>
      <c r="R12" s="10"/>
      <c r="W12" s="78"/>
    </row>
    <row r="13" spans="1:32" s="11" customFormat="1" x14ac:dyDescent="0.25">
      <c r="A13" s="10"/>
      <c r="B13" s="10"/>
      <c r="C13" s="18"/>
      <c r="D13" s="18"/>
      <c r="E13" s="10"/>
      <c r="F13" s="10"/>
      <c r="G13" s="10"/>
      <c r="H13" s="12"/>
      <c r="I13" s="19"/>
      <c r="J13" s="10"/>
      <c r="K13" s="19"/>
      <c r="L13" s="19"/>
      <c r="M13" s="19"/>
      <c r="N13" s="10"/>
      <c r="O13" s="10"/>
      <c r="P13" s="10"/>
      <c r="Q13" s="10"/>
      <c r="R13" s="10"/>
      <c r="W13" s="78"/>
    </row>
    <row r="14" spans="1:32" s="11" customFormat="1" x14ac:dyDescent="0.25">
      <c r="A14" s="10"/>
      <c r="B14" s="10"/>
      <c r="C14" s="18"/>
      <c r="D14" s="18"/>
      <c r="E14" s="10"/>
      <c r="F14" s="10"/>
      <c r="G14" s="10"/>
      <c r="H14" s="12"/>
      <c r="I14" s="19"/>
      <c r="J14" s="10"/>
      <c r="K14" s="19"/>
      <c r="L14" s="19"/>
      <c r="M14" s="19"/>
      <c r="N14" s="10"/>
      <c r="O14" s="10"/>
      <c r="P14" s="10"/>
      <c r="Q14" s="10"/>
      <c r="R14" s="10"/>
      <c r="W14" s="78"/>
    </row>
    <row r="15" spans="1:32" s="11" customFormat="1" x14ac:dyDescent="0.25">
      <c r="A15" s="10"/>
      <c r="B15" s="10"/>
      <c r="C15" s="18"/>
      <c r="D15" s="18"/>
      <c r="E15" s="10"/>
      <c r="F15" s="10"/>
      <c r="G15" s="10"/>
      <c r="H15" s="12"/>
      <c r="I15" s="19"/>
      <c r="J15" s="10"/>
      <c r="K15" s="19"/>
      <c r="L15" s="19"/>
      <c r="M15" s="19"/>
      <c r="N15" s="10"/>
      <c r="O15" s="14"/>
      <c r="P15" s="10"/>
      <c r="Q15" s="10"/>
      <c r="R15" s="10"/>
      <c r="W15" s="78"/>
    </row>
    <row r="16" spans="1:32" s="11" customFormat="1" x14ac:dyDescent="0.25">
      <c r="A16" s="10"/>
      <c r="B16" s="10"/>
      <c r="C16" s="18"/>
      <c r="D16" s="18"/>
      <c r="E16" s="10"/>
      <c r="F16" s="10"/>
      <c r="G16" s="10"/>
      <c r="H16" s="12"/>
      <c r="I16" s="19"/>
      <c r="J16" s="10"/>
      <c r="K16" s="19"/>
      <c r="L16" s="19"/>
      <c r="M16" s="19"/>
      <c r="N16" s="10"/>
      <c r="O16" s="10"/>
      <c r="P16" s="10"/>
      <c r="Q16" s="10"/>
      <c r="R16" s="10"/>
      <c r="W16" s="78"/>
    </row>
    <row r="17" spans="1:23" s="11" customFormat="1" x14ac:dyDescent="0.25">
      <c r="A17" s="10"/>
      <c r="B17" s="10"/>
      <c r="C17" s="18"/>
      <c r="D17" s="18"/>
      <c r="E17" s="10"/>
      <c r="F17" s="10"/>
      <c r="G17" s="10"/>
      <c r="H17" s="12"/>
      <c r="I17" s="19"/>
      <c r="J17" s="10"/>
      <c r="K17" s="19"/>
      <c r="L17" s="19"/>
      <c r="M17" s="19"/>
      <c r="N17" s="10"/>
      <c r="O17" s="10"/>
      <c r="P17" s="10"/>
      <c r="Q17" s="10"/>
      <c r="R17" s="10"/>
      <c r="W17" s="78"/>
    </row>
    <row r="18" spans="1:23" s="11" customFormat="1" x14ac:dyDescent="0.25">
      <c r="A18" s="10"/>
      <c r="B18" s="10"/>
      <c r="C18" s="18"/>
      <c r="D18" s="18" t="s">
        <v>64</v>
      </c>
      <c r="E18" s="10"/>
      <c r="F18" s="10"/>
      <c r="G18" s="10"/>
      <c r="H18" s="12"/>
      <c r="I18" s="19"/>
      <c r="J18" s="10"/>
      <c r="K18" s="19"/>
      <c r="L18" s="19"/>
      <c r="M18" s="19"/>
      <c r="N18" s="10"/>
      <c r="O18" s="10"/>
      <c r="P18" s="10"/>
      <c r="Q18" s="10"/>
      <c r="R18" s="10"/>
      <c r="W18" s="78"/>
    </row>
    <row r="19" spans="1:23" s="11" customFormat="1" x14ac:dyDescent="0.25">
      <c r="A19" s="10"/>
      <c r="B19" s="10"/>
      <c r="C19" s="18"/>
      <c r="D19" s="18" t="s">
        <v>65</v>
      </c>
      <c r="E19" s="10"/>
      <c r="F19" s="10"/>
      <c r="G19" s="10"/>
      <c r="H19" s="12"/>
      <c r="I19" s="19"/>
      <c r="J19" s="10"/>
      <c r="K19" s="19"/>
      <c r="L19" s="19"/>
      <c r="M19" s="19"/>
      <c r="N19" s="10"/>
      <c r="O19" s="10"/>
      <c r="P19" s="10"/>
      <c r="Q19" s="10"/>
      <c r="R19" s="10"/>
      <c r="W19" s="78"/>
    </row>
    <row r="20" spans="1:23" s="11" customFormat="1" x14ac:dyDescent="0.25">
      <c r="A20" s="10"/>
      <c r="B20" s="10"/>
      <c r="C20" s="18"/>
      <c r="D20" s="18"/>
      <c r="E20" s="10"/>
      <c r="F20" s="10"/>
      <c r="G20" s="10"/>
      <c r="H20" s="12"/>
      <c r="I20" s="19"/>
      <c r="J20" s="10"/>
      <c r="K20" s="19"/>
      <c r="L20" s="19"/>
      <c r="M20" s="19"/>
      <c r="N20" s="10"/>
      <c r="O20" s="10"/>
      <c r="P20" s="10"/>
      <c r="Q20" s="10"/>
      <c r="R20" s="10"/>
      <c r="W20" s="78"/>
    </row>
    <row r="21" spans="1:23" s="11" customFormat="1" x14ac:dyDescent="0.25">
      <c r="A21" s="10"/>
      <c r="B21" s="10"/>
      <c r="C21" s="18"/>
      <c r="D21" s="18"/>
      <c r="E21" s="10"/>
      <c r="F21" s="10"/>
      <c r="G21" s="10"/>
      <c r="H21" s="12"/>
      <c r="I21" s="19"/>
      <c r="J21" s="10"/>
      <c r="K21" s="19"/>
      <c r="L21" s="19"/>
      <c r="M21" s="19"/>
      <c r="N21" s="10"/>
      <c r="O21" s="10"/>
      <c r="P21" s="10"/>
      <c r="Q21" s="10"/>
      <c r="R21" s="10"/>
      <c r="W21" s="78"/>
    </row>
    <row r="22" spans="1:23" s="11" customFormat="1" x14ac:dyDescent="0.25">
      <c r="A22" s="10"/>
      <c r="B22" s="10"/>
      <c r="C22" s="18"/>
      <c r="D22" s="18"/>
      <c r="E22" s="10"/>
      <c r="F22" s="10"/>
      <c r="G22" s="10"/>
      <c r="H22" s="12"/>
      <c r="I22" s="19"/>
      <c r="J22" s="10"/>
      <c r="K22" s="19"/>
      <c r="L22" s="19"/>
      <c r="M22" s="19"/>
      <c r="N22" s="10"/>
      <c r="O22" s="10"/>
      <c r="P22" s="10"/>
      <c r="Q22" s="10"/>
      <c r="R22" s="10"/>
      <c r="W22" s="78"/>
    </row>
  </sheetData>
  <dataValidations count="2">
    <dataValidation type="list" errorStyle="information" allowBlank="1" showErrorMessage="1" sqref="D10 D8">
      <formula1>GRADE</formula1>
    </dataValidation>
    <dataValidation type="list" errorStyle="information" allowBlank="1" showErrorMessage="1" sqref="C10 C8">
      <formula1>MATERIAL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53"/>
  <sheetViews>
    <sheetView zoomScale="96" zoomScaleNormal="96" workbookViewId="0">
      <selection activeCell="M28" sqref="M28"/>
    </sheetView>
  </sheetViews>
  <sheetFormatPr defaultColWidth="8.85546875" defaultRowHeight="15" x14ac:dyDescent="0.25"/>
  <cols>
    <col min="1" max="1" width="30.7109375" style="22" customWidth="1"/>
    <col min="2" max="2" width="8.7109375" style="21" customWidth="1"/>
    <col min="8" max="8" width="11.85546875" bestFit="1" customWidth="1"/>
    <col min="10" max="10" width="8.85546875" customWidth="1"/>
  </cols>
  <sheetData>
    <row r="1" spans="1:10" ht="15.75" thickTop="1" x14ac:dyDescent="0.25">
      <c r="A1" s="29" t="s">
        <v>28</v>
      </c>
      <c r="B1" s="30">
        <v>820</v>
      </c>
      <c r="C1" s="31">
        <v>3</v>
      </c>
    </row>
    <row r="2" spans="1:10" ht="15.6" customHeight="1" x14ac:dyDescent="0.25">
      <c r="A2" s="32" t="s">
        <v>52</v>
      </c>
      <c r="B2" s="21">
        <v>952</v>
      </c>
      <c r="C2" s="33">
        <v>3</v>
      </c>
    </row>
    <row r="3" spans="1:10" x14ac:dyDescent="0.25">
      <c r="A3" s="32" t="s">
        <v>49</v>
      </c>
      <c r="B3" s="21">
        <v>952</v>
      </c>
      <c r="C3" s="33">
        <v>3</v>
      </c>
    </row>
    <row r="4" spans="1:10" x14ac:dyDescent="0.25">
      <c r="A4" s="32" t="s">
        <v>53</v>
      </c>
      <c r="B4" s="21">
        <v>952</v>
      </c>
      <c r="C4" s="33">
        <v>3</v>
      </c>
    </row>
    <row r="5" spans="1:10" x14ac:dyDescent="0.25">
      <c r="A5" s="32" t="s">
        <v>21</v>
      </c>
      <c r="B5" s="21">
        <v>750</v>
      </c>
      <c r="C5" s="33">
        <v>3</v>
      </c>
      <c r="H5" s="69"/>
      <c r="I5" s="21"/>
    </row>
    <row r="6" spans="1:10" x14ac:dyDescent="0.25">
      <c r="A6" s="32" t="s">
        <v>51</v>
      </c>
      <c r="B6" s="21">
        <v>480</v>
      </c>
      <c r="C6" s="33">
        <v>8</v>
      </c>
      <c r="H6" s="69" t="s">
        <v>21</v>
      </c>
      <c r="I6" s="21">
        <v>750</v>
      </c>
      <c r="J6">
        <v>3</v>
      </c>
    </row>
    <row r="7" spans="1:10" x14ac:dyDescent="0.25">
      <c r="A7" s="32" t="s">
        <v>27</v>
      </c>
      <c r="B7" s="21">
        <v>380</v>
      </c>
      <c r="C7" s="33">
        <v>8</v>
      </c>
      <c r="H7" s="69" t="s">
        <v>51</v>
      </c>
      <c r="I7" s="21">
        <v>480</v>
      </c>
      <c r="J7">
        <v>8</v>
      </c>
    </row>
    <row r="8" spans="1:10" x14ac:dyDescent="0.25">
      <c r="A8" s="32" t="s">
        <v>22</v>
      </c>
      <c r="B8" s="21">
        <v>290</v>
      </c>
      <c r="C8" s="33">
        <v>8</v>
      </c>
      <c r="H8" t="s">
        <v>54</v>
      </c>
    </row>
    <row r="9" spans="1:10" x14ac:dyDescent="0.25">
      <c r="A9" s="32" t="s">
        <v>38</v>
      </c>
      <c r="B9" s="21">
        <v>330</v>
      </c>
      <c r="C9" s="33">
        <v>8</v>
      </c>
    </row>
    <row r="10" spans="1:10" x14ac:dyDescent="0.25">
      <c r="A10" s="32">
        <v>2316</v>
      </c>
      <c r="B10" s="21">
        <v>330</v>
      </c>
      <c r="C10" s="33">
        <v>8</v>
      </c>
    </row>
    <row r="11" spans="1:10" x14ac:dyDescent="0.25">
      <c r="A11" s="32" t="s">
        <v>35</v>
      </c>
      <c r="B11" s="21">
        <v>750</v>
      </c>
      <c r="C11" s="33">
        <v>3</v>
      </c>
    </row>
    <row r="12" spans="1:10" x14ac:dyDescent="0.25">
      <c r="A12" s="32" t="s">
        <v>63</v>
      </c>
      <c r="B12" s="21">
        <v>750</v>
      </c>
      <c r="C12" s="33">
        <v>3</v>
      </c>
    </row>
    <row r="13" spans="1:10" x14ac:dyDescent="0.25">
      <c r="A13" s="32" t="s">
        <v>36</v>
      </c>
      <c r="B13" s="21">
        <v>750</v>
      </c>
      <c r="C13" s="33">
        <v>3</v>
      </c>
    </row>
    <row r="14" spans="1:10" x14ac:dyDescent="0.25">
      <c r="A14" s="32" t="s">
        <v>37</v>
      </c>
      <c r="B14" s="21">
        <v>750</v>
      </c>
      <c r="C14" s="33">
        <v>3</v>
      </c>
    </row>
    <row r="15" spans="1:10" x14ac:dyDescent="0.25">
      <c r="A15" s="32" t="s">
        <v>29</v>
      </c>
      <c r="B15" s="21">
        <v>500</v>
      </c>
      <c r="C15" s="33">
        <v>1.2</v>
      </c>
    </row>
    <row r="16" spans="1:10" x14ac:dyDescent="0.25">
      <c r="A16" s="32" t="s">
        <v>42</v>
      </c>
      <c r="B16" s="21">
        <v>500</v>
      </c>
      <c r="C16" s="33">
        <v>1.2</v>
      </c>
    </row>
    <row r="17" spans="1:3" x14ac:dyDescent="0.25">
      <c r="A17" s="32" t="s">
        <v>43</v>
      </c>
      <c r="B17" s="21">
        <v>500</v>
      </c>
      <c r="C17" s="33">
        <v>1.1000000000000001</v>
      </c>
    </row>
    <row r="18" spans="1:3" x14ac:dyDescent="0.25">
      <c r="A18" s="32" t="s">
        <v>30</v>
      </c>
      <c r="B18" s="21">
        <v>5000</v>
      </c>
      <c r="C18" s="33">
        <v>2</v>
      </c>
    </row>
    <row r="19" spans="1:3" x14ac:dyDescent="0.25">
      <c r="A19" s="32" t="s">
        <v>31</v>
      </c>
      <c r="B19" s="21">
        <v>330</v>
      </c>
      <c r="C19" s="33">
        <v>8</v>
      </c>
    </row>
    <row r="20" spans="1:3" x14ac:dyDescent="0.25">
      <c r="A20" s="32" t="s">
        <v>39</v>
      </c>
      <c r="B20" s="21">
        <v>310</v>
      </c>
      <c r="C20" s="33">
        <v>8</v>
      </c>
    </row>
    <row r="21" spans="1:3" x14ac:dyDescent="0.25">
      <c r="A21" s="32" t="s">
        <v>32</v>
      </c>
      <c r="B21" s="21">
        <v>330</v>
      </c>
      <c r="C21" s="33">
        <v>8</v>
      </c>
    </row>
    <row r="22" spans="1:3" x14ac:dyDescent="0.25">
      <c r="A22" s="32" t="s">
        <v>33</v>
      </c>
      <c r="B22" s="21">
        <v>330</v>
      </c>
      <c r="C22" s="33">
        <v>8</v>
      </c>
    </row>
    <row r="23" spans="1:3" x14ac:dyDescent="0.25">
      <c r="A23" s="32" t="s">
        <v>34</v>
      </c>
      <c r="B23" s="21">
        <v>330</v>
      </c>
      <c r="C23" s="33">
        <v>8</v>
      </c>
    </row>
    <row r="24" spans="1:3" x14ac:dyDescent="0.25">
      <c r="A24" s="32" t="s">
        <v>25</v>
      </c>
      <c r="B24" s="21">
        <v>330</v>
      </c>
      <c r="C24" s="33">
        <v>8</v>
      </c>
    </row>
    <row r="25" spans="1:3" x14ac:dyDescent="0.25">
      <c r="A25" s="32" t="s">
        <v>24</v>
      </c>
      <c r="B25" s="21">
        <v>650</v>
      </c>
      <c r="C25" s="33">
        <v>9</v>
      </c>
    </row>
    <row r="26" spans="1:3" x14ac:dyDescent="0.25">
      <c r="A26" s="34" t="s">
        <v>40</v>
      </c>
      <c r="B26" s="21">
        <v>800</v>
      </c>
      <c r="C26" s="33">
        <v>8.5</v>
      </c>
    </row>
    <row r="27" spans="1:3" x14ac:dyDescent="0.25">
      <c r="A27" s="34" t="s">
        <v>41</v>
      </c>
      <c r="B27" s="21">
        <v>650</v>
      </c>
      <c r="C27" s="33">
        <v>9</v>
      </c>
    </row>
    <row r="28" spans="1:3" x14ac:dyDescent="0.25">
      <c r="A28" s="34"/>
      <c r="C28" s="33"/>
    </row>
    <row r="29" spans="1:3" x14ac:dyDescent="0.25">
      <c r="A29" s="34"/>
      <c r="C29" s="33"/>
    </row>
    <row r="30" spans="1:3" x14ac:dyDescent="0.25">
      <c r="A30" s="34"/>
      <c r="C30" s="33"/>
    </row>
    <row r="31" spans="1:3" x14ac:dyDescent="0.25">
      <c r="A31" s="34"/>
      <c r="C31" s="33"/>
    </row>
    <row r="32" spans="1:3" x14ac:dyDescent="0.25">
      <c r="A32" s="34"/>
      <c r="C32" s="33"/>
    </row>
    <row r="33" spans="1:3" ht="15.75" thickBot="1" x14ac:dyDescent="0.3">
      <c r="A33" s="35"/>
      <c r="B33" s="36"/>
      <c r="C33" s="37"/>
    </row>
    <row r="34" spans="1:3" ht="15.75" thickTop="1" x14ac:dyDescent="0.25">
      <c r="A34" s="24"/>
      <c r="C34" s="23"/>
    </row>
    <row r="35" spans="1:3" x14ac:dyDescent="0.25">
      <c r="A35" s="24"/>
      <c r="C35" s="23"/>
    </row>
    <row r="36" spans="1:3" x14ac:dyDescent="0.25">
      <c r="A36" s="24"/>
      <c r="C36" s="23"/>
    </row>
    <row r="37" spans="1:3" x14ac:dyDescent="0.25">
      <c r="A37" s="24"/>
      <c r="C37" s="23"/>
    </row>
    <row r="38" spans="1:3" x14ac:dyDescent="0.25">
      <c r="A38" s="24"/>
      <c r="C38" s="23"/>
    </row>
    <row r="39" spans="1:3" x14ac:dyDescent="0.25">
      <c r="A39" s="24"/>
      <c r="C39" s="23"/>
    </row>
    <row r="40" spans="1:3" x14ac:dyDescent="0.25">
      <c r="A40" s="24"/>
      <c r="C40" s="23"/>
    </row>
    <row r="41" spans="1:3" x14ac:dyDescent="0.25">
      <c r="A41" s="24"/>
      <c r="C41" s="23"/>
    </row>
    <row r="42" spans="1:3" x14ac:dyDescent="0.25">
      <c r="A42" s="24"/>
      <c r="C42" s="23"/>
    </row>
    <row r="43" spans="1:3" x14ac:dyDescent="0.25">
      <c r="A43" s="24"/>
      <c r="C43" s="23"/>
    </row>
    <row r="44" spans="1:3" x14ac:dyDescent="0.25">
      <c r="A44" s="24"/>
      <c r="C44" s="23"/>
    </row>
    <row r="45" spans="1:3" x14ac:dyDescent="0.25">
      <c r="A45" s="24"/>
      <c r="C45" s="23"/>
    </row>
    <row r="46" spans="1:3" x14ac:dyDescent="0.25">
      <c r="A46" s="24"/>
      <c r="C46" s="23"/>
    </row>
    <row r="47" spans="1:3" x14ac:dyDescent="0.25">
      <c r="A47" s="24"/>
      <c r="C47" s="23"/>
    </row>
    <row r="48" spans="1:3" x14ac:dyDescent="0.25">
      <c r="A48" s="24"/>
      <c r="C48" s="23"/>
    </row>
    <row r="49" spans="1:3" x14ac:dyDescent="0.25">
      <c r="A49" s="24"/>
      <c r="C49" s="23"/>
    </row>
    <row r="50" spans="1:3" x14ac:dyDescent="0.25">
      <c r="A50" s="24"/>
      <c r="C50" s="23"/>
    </row>
    <row r="51" spans="1:3" x14ac:dyDescent="0.25">
      <c r="A51" s="24"/>
      <c r="C51" s="23"/>
    </row>
    <row r="52" spans="1:3" x14ac:dyDescent="0.25">
      <c r="A52" s="24"/>
      <c r="C52" s="23"/>
    </row>
    <row r="53" spans="1:3" ht="15.75" thickBot="1" x14ac:dyDescent="0.3">
      <c r="A53" s="25"/>
      <c r="B53" s="26"/>
      <c r="C53" s="27"/>
    </row>
  </sheetData>
  <dataConsolidate/>
  <pageMargins left="0.7" right="0.7" top="0.75" bottom="0.75" header="0.3" footer="0.3"/>
  <pageSetup paperSize="9" orientation="portrait" verticalDpi="0" r:id="rId1"/>
  <ignoredErrors>
    <ignoredError sqref="A8 A13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COST-SUMMARY</vt:lpstr>
      <vt:lpstr>Mold and Mask Parts</vt:lpstr>
      <vt:lpstr>Mold Base Parts </vt:lpstr>
      <vt:lpstr>Standard Parts </vt:lpstr>
      <vt:lpstr>Fastners</vt:lpstr>
      <vt:lpstr>Elec</vt:lpstr>
      <vt:lpstr>Partlist- summary</vt:lpstr>
      <vt:lpstr>WQF</vt:lpstr>
      <vt:lpstr>SHEET1</vt:lpstr>
      <vt:lpstr>den</vt:lpstr>
      <vt:lpstr>GRADE</vt:lpstr>
      <vt:lpstr>MATERIAL</vt:lpstr>
      <vt:lpstr>Elec!Print_Area</vt:lpstr>
      <vt:lpstr>Fastners!Print_Area</vt:lpstr>
      <vt:lpstr>'Mold and Mask Parts'!Print_Area</vt:lpstr>
      <vt:lpstr>'Mold Base Parts '!Print_Area</vt:lpstr>
      <vt:lpstr>'Standard Parts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2026-03-18T11:53:18Z</dcterms:modified>
</cp:coreProperties>
</file>