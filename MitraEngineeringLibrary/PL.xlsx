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autoCompressPictures="0"/>
  <xr:revisionPtr revIDLastSave="0" documentId="13_ncr:1_{E4A7CC93-0541-4163-9D31-D0DD5ABC4EB5}" xr6:coauthVersionLast="47" xr6:coauthVersionMax="47" xr10:uidLastSave="{00000000-0000-0000-0000-000000000000}"/>
  <bookViews>
    <workbookView xWindow="-108" yWindow="-108" windowWidth="23256" windowHeight="12456" tabRatio="746" activeTab="2" xr2:uid="{00000000-000D-0000-FFFF-FFFF00000000}"/>
  </bookViews>
  <sheets>
    <sheet name="Design" sheetId="27" r:id="rId1"/>
    <sheet name="Sheet1" sheetId="28" r:id="rId2"/>
    <sheet name="Sheet2" sheetId="29" r:id="rId3"/>
  </sheets>
  <definedNames>
    <definedName name="Actual">(PeriodInActual*(#REF!&gt;0))*PeriodInPlan</definedName>
    <definedName name="ActualBeyond">PeriodInActual*(#REF!&gt;0)</definedName>
    <definedName name="CalendarYear">#REF!</definedName>
    <definedName name="ColumnTitle1">#REF!</definedName>
    <definedName name="ColumnTitleRegion1..E26.1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ColumnTitleRegion2..G26.1">#REF!</definedName>
    <definedName name="ColumnTitleRegion3..I26.1">#REF!</definedName>
    <definedName name="DAYS">#REF!</definedName>
    <definedName name="DaysAndWeeks">{0,1,2,3,4,5,6} + {0;1;2;3;4;5}*7</definedName>
    <definedName name="list_of_days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owTitleRegion1..K3">#REF!</definedName>
    <definedName name="Sunday">#REF!</definedName>
    <definedName name="TitleRegion..BO60">#REF!</definedName>
    <definedName name="WeekSta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8" l="1"/>
  <c r="K7" i="28" s="1"/>
  <c r="K8" i="28" s="1"/>
  <c r="K9" i="28" s="1"/>
  <c r="K10" i="28" s="1"/>
  <c r="K11" i="28" s="1"/>
  <c r="K12" i="28" s="1"/>
  <c r="K13" i="28" s="1"/>
  <c r="K14" i="28" s="1"/>
  <c r="K5" i="28"/>
  <c r="I5" i="28"/>
  <c r="K4" i="28"/>
  <c r="H5" i="28"/>
  <c r="L5" i="28"/>
  <c r="L6" i="28" s="1"/>
  <c r="J6" i="28" s="1"/>
  <c r="G6" i="28"/>
  <c r="G7" i="28" s="1"/>
  <c r="G8" i="28" s="1"/>
  <c r="G9" i="28" s="1"/>
  <c r="G10" i="28" s="1"/>
  <c r="G11" i="28" s="1"/>
  <c r="G12" i="28" s="1"/>
  <c r="G13" i="28" s="1"/>
  <c r="G14" i="28" s="1"/>
  <c r="F6" i="28"/>
  <c r="H6" i="28" s="1"/>
  <c r="J5" i="28" l="1"/>
  <c r="I6" i="28"/>
  <c r="F7" i="28"/>
  <c r="L7" i="28"/>
  <c r="L8" i="28" s="1"/>
  <c r="J8" i="28" s="1"/>
  <c r="J7" i="28"/>
  <c r="L9" i="28" l="1"/>
  <c r="L10" i="28" s="1"/>
  <c r="F8" i="28"/>
  <c r="H7" i="28"/>
  <c r="I7" i="28" s="1"/>
  <c r="J9" i="28"/>
  <c r="F9" i="28" l="1"/>
  <c r="H8" i="28"/>
  <c r="I8" i="28" s="1"/>
  <c r="L11" i="28"/>
  <c r="J10" i="28"/>
  <c r="F10" i="28" l="1"/>
  <c r="H9" i="28"/>
  <c r="I9" i="28" s="1"/>
  <c r="L12" i="28"/>
  <c r="J11" i="28"/>
  <c r="F11" i="28" l="1"/>
  <c r="H10" i="28"/>
  <c r="I10" i="28" s="1"/>
  <c r="J12" i="28"/>
  <c r="L13" i="28"/>
  <c r="F12" i="28" l="1"/>
  <c r="H11" i="28"/>
  <c r="I11" i="28" s="1"/>
  <c r="L14" i="28"/>
  <c r="J14" i="28" s="1"/>
  <c r="J13" i="28"/>
  <c r="F13" i="28" l="1"/>
  <c r="H12" i="28"/>
  <c r="I12" i="28" s="1"/>
  <c r="F14" i="28" l="1"/>
  <c r="H14" i="28" s="1"/>
  <c r="I14" i="28" s="1"/>
  <c r="H13" i="28"/>
  <c r="I13" i="28" s="1"/>
</calcChain>
</file>

<file path=xl/sharedStrings.xml><?xml version="1.0" encoding="utf-8"?>
<sst xmlns="http://schemas.openxmlformats.org/spreadsheetml/2006/main" count="137" uniqueCount="88">
  <si>
    <t>S.no</t>
  </si>
  <si>
    <t>Customer</t>
  </si>
  <si>
    <t>MSR review</t>
  </si>
  <si>
    <t>Raw 
Material</t>
  </si>
  <si>
    <t>Elec Raw 
Material</t>
  </si>
  <si>
    <t>Block up
Sizes</t>
  </si>
  <si>
    <t xml:space="preserve">Standard
Parts </t>
  </si>
  <si>
    <t>Cavity Model</t>
  </si>
  <si>
    <t>Mold 
Design</t>
  </si>
  <si>
    <t>Mask
Design</t>
  </si>
  <si>
    <t>Design Review</t>
  </si>
  <si>
    <t>File submission</t>
  </si>
  <si>
    <t>Process Planning</t>
  </si>
  <si>
    <t>Elec EDM
Readings</t>
  </si>
  <si>
    <t>Disaptch</t>
  </si>
  <si>
    <t xml:space="preserve">Tool proving </t>
  </si>
  <si>
    <t xml:space="preserve">  </t>
  </si>
  <si>
    <t>Service Molds</t>
  </si>
  <si>
    <t>Up coming projects</t>
  </si>
  <si>
    <t>Completed projects</t>
  </si>
  <si>
    <t>Detailing</t>
  </si>
  <si>
    <t>Product design</t>
  </si>
  <si>
    <t>BM453 Veedol 600ml P01 Single cavity Mold SS65 FN</t>
  </si>
  <si>
    <t>BM454 Veedol 600ml M01 08Cavity Mold SEB101 FN</t>
  </si>
  <si>
    <t>BM455 Veedol 800ml M01 08Cavity Mold SEB101 FN</t>
  </si>
  <si>
    <t>BM456 Veedol 1.5L M01 3cavity Mold SS65 FN</t>
  </si>
  <si>
    <t>BM451 Softouch 200ml HDPE 15-Cavity Mold SEB101CN</t>
  </si>
  <si>
    <t>BM452 5-Liter Can 1+1 Cavity Mold-UMS100-CR</t>
  </si>
  <si>
    <t>srikanth</t>
  </si>
  <si>
    <t>ALPLA</t>
  </si>
  <si>
    <t>CREATIVE</t>
  </si>
  <si>
    <r>
      <rPr>
        <b/>
        <u/>
        <sz val="11"/>
        <color theme="1"/>
        <rFont val="Calibri"/>
        <family val="2"/>
        <scheme val="minor"/>
      </rPr>
      <t>New Projects</t>
    </r>
    <r>
      <rPr>
        <sz val="11"/>
        <color theme="1"/>
        <rFont val="Calibri"/>
        <family val="2"/>
        <scheme val="minor"/>
      </rPr>
      <t xml:space="preserve">
Name</t>
    </r>
  </si>
  <si>
    <t>BM460 500ml TC Bottle 2+2 Cav Mold UMS100 AN CR</t>
  </si>
  <si>
    <t>MOR
Received</t>
  </si>
  <si>
    <t>BM471 60ml CN Bottle 10+10 cav Mold Samsung90D CN</t>
  </si>
  <si>
    <t>BM472 Vision 725ml 2+2 Cavity Mold CMP-1 Liter-FN-CR</t>
  </si>
  <si>
    <t>BM470 Milk 1000ml Bottle HDPE single Cavity Mold BMU TC LH</t>
  </si>
  <si>
    <t>BM469 AXE 1-Liter 2+2 Cavity Mold CMP-5 Liter-UMS-100 FN-CR</t>
  </si>
  <si>
    <t>BM468 BV JAR 500g  4+4 Cav Mold Speedex LH MTL</t>
  </si>
  <si>
    <t>BM467 BV JAR 500g  4+4 Cav Mold UMS-100 LSD LH MTL</t>
  </si>
  <si>
    <t>BM466  BV JAR 1kg 2+2 Single Cavity Mold CMP-2Liter LH MTL</t>
  </si>
  <si>
    <t>BM465 BV JAR 1kg 1+1 Single Cavity Mold cmp 1000 LH MTL</t>
  </si>
  <si>
    <t>BM464 Vancouver 400ml 08-Cavity Mold BMU 70E+ FN-M03</t>
  </si>
  <si>
    <t>BM463 Vancouver 400ml 08-Cavity Mold BMU 70E+ FN-M02</t>
  </si>
  <si>
    <t>BM462 Vancouver 100ml 12-Cavity Mold BMU 70E+ FN-M03</t>
  </si>
  <si>
    <t>BM461 Vancouver 100ml 12-Cavity Mold BMU 70E+ FN-M02</t>
  </si>
  <si>
    <t>BM459 Vancouver 400ml 08-Cavity Mold BMU 70E+ FN-M01</t>
  </si>
  <si>
    <t>BM458 Vancouver 200ml 10-Cavity Mold BMU 70E+ FN</t>
  </si>
  <si>
    <t>BM457 Vancouver 100ml 12-Cavity Mold BMU 70E+ FN</t>
  </si>
  <si>
    <t>praveen</t>
  </si>
  <si>
    <t>kalyan</t>
  </si>
  <si>
    <t>yogendra</t>
  </si>
  <si>
    <t>WEENER</t>
  </si>
  <si>
    <t>ALTERNICQ</t>
  </si>
  <si>
    <t>-</t>
  </si>
  <si>
    <t>BM473 Fabric Care 1000ml P01 Single cavity Mold BMU TC FN</t>
  </si>
  <si>
    <t>opcd</t>
  </si>
  <si>
    <t xml:space="preserve">T </t>
  </si>
  <si>
    <t>Ch</t>
  </si>
  <si>
    <t>cy01</t>
  </si>
  <si>
    <t>ghc</t>
  </si>
  <si>
    <t>Aug</t>
  </si>
  <si>
    <t>sk-sdEPDRRhMvC5goh5BQt7PjBdLtSHxBLzZjFQoJCDbQGhn4NcEPYswzEwisagtbx5</t>
  </si>
  <si>
    <t>tinku02050@gmail.com</t>
  </si>
  <si>
    <t>sk-8FaQlmXYn5BGjSKVSWAqm5V6YTohAJBdk18jHvXLuNsYgjoDohEbSyU3xbRn1M6U</t>
  </si>
  <si>
    <t>cyadagiri0101@gmail.com</t>
  </si>
  <si>
    <t>opencode auth list</t>
  </si>
  <si>
    <t>opencode auth logout</t>
  </si>
  <si>
    <t>sk-IsgipbdMhryzSQm8MRkP1TEFBHXN3SuNJRK8SD9JCLkcEDVDYKu12f5tPlToBFFn</t>
  </si>
  <si>
    <t>srikanth.prathira</t>
  </si>
  <si>
    <t>sp</t>
  </si>
  <si>
    <t>opencode auth login</t>
  </si>
  <si>
    <t>sk-4liRKAKh1oeY8HwQ0gZgQ00T0MjjgC7XofCE2vWRk0u5a0TH5IBpHdVM4hdKYykS</t>
  </si>
  <si>
    <t>ch</t>
  </si>
  <si>
    <t>sk-Lhqqoikbmk4VVy5AKHloFYgmxk0IwrqRf2qQbp02wz3eoiDUkRpZ14QE8U339Yfg</t>
  </si>
  <si>
    <t>12e2d94b57144dcb905b4ce3b627f065.ByxVCOlEI3wAI0k-FZmKheq-</t>
  </si>
  <si>
    <t>oll c.s</t>
  </si>
  <si>
    <t>sp@o</t>
  </si>
  <si>
    <t>cs5</t>
  </si>
  <si>
    <t>aak</t>
  </si>
  <si>
    <t>T02050</t>
  </si>
  <si>
    <t>omniroute</t>
  </si>
  <si>
    <t>sk-feffb72ebb82e57f-371a8a-319f0c3d</t>
  </si>
  <si>
    <t>TINKU02050/omniroute</t>
  </si>
  <si>
    <t>sceh5</t>
  </si>
  <si>
    <t>tink998 opcd</t>
  </si>
  <si>
    <t>sk_42e5f17aeb452634433dc654e86c57e8d190fc93ba029cf014f2f61793ab1678</t>
  </si>
  <si>
    <t>tink998 cli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</si>
</sst>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"/>
    <numFmt numFmtId="169" formatCode="[$-409]h:mm\ AM/PM;@"/>
    <numFmt numFmtId="170" formatCode="&quot;Done&quot;;&quot;&quot;;&quot;&quot;"/>
    <numFmt numFmtId="171" formatCode="&quot;₹&quot;\ #,##0.00"/>
  </numFmts>
  <fonts count="43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35"/>
      <color theme="4"/>
      <name val="Calibri"/>
      <family val="2"/>
      <scheme val="minor"/>
    </font>
    <font>
      <sz val="12"/>
      <color theme="4" tint="-0.24994659260841701"/>
      <name val="Calibri Light"/>
      <family val="1"/>
      <scheme val="major"/>
    </font>
    <font>
      <sz val="11"/>
      <color theme="1" tint="0.34998626667073579"/>
      <name val="Calibri"/>
      <family val="2"/>
      <scheme val="minor"/>
    </font>
    <font>
      <sz val="11"/>
      <color theme="4" tint="-0.24994659260841701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u/>
      <sz val="8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6"/>
      <color theme="0"/>
      <name val="Calibri Light"/>
      <family val="2"/>
      <scheme val="major"/>
    </font>
    <font>
      <b/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  <font>
      <b/>
      <sz val="38"/>
      <color theme="1" tint="0.24994659260841701"/>
      <name val="Calibri"/>
      <family val="1"/>
      <scheme val="minor"/>
    </font>
    <font>
      <sz val="11"/>
      <color theme="1" tint="0.24994659260841701"/>
      <name val="Calibri Light"/>
      <family val="2"/>
      <scheme val="major"/>
    </font>
    <font>
      <sz val="11"/>
      <color theme="3"/>
      <name val="Calibri Light"/>
      <family val="2"/>
      <scheme val="major"/>
    </font>
    <font>
      <b/>
      <sz val="42"/>
      <color theme="7"/>
      <name val="Calibri Light"/>
      <family val="2"/>
      <scheme val="major"/>
    </font>
    <font>
      <i/>
      <sz val="11"/>
      <color theme="7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trike/>
      <sz val="11"/>
      <color theme="1" tint="0.2499465926084170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color rgb="FFA1A1A6"/>
      <name val="Consolas"/>
      <family val="3"/>
    </font>
    <font>
      <sz val="10"/>
      <color theme="1" tint="0.24994659260841701"/>
      <name val="Arial Unicode MS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theme="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7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</borders>
  <cellStyleXfs count="52">
    <xf numFmtId="0" fontId="0" fillId="0" borderId="0">
      <alignment vertical="top"/>
    </xf>
    <xf numFmtId="0" fontId="16" fillId="2" borderId="0" applyNumberFormat="0" applyBorder="0" applyAlignment="0" applyProtection="0"/>
    <xf numFmtId="0" fontId="15" fillId="0" borderId="3" applyNumberFormat="0" applyFill="0" applyProtection="0">
      <alignment horizontal="left" vertical="center" indent="1"/>
    </xf>
    <xf numFmtId="0" fontId="10" fillId="3" borderId="1" applyNumberFormat="0" applyAlignment="0" applyProtection="0"/>
    <xf numFmtId="0" fontId="11" fillId="4" borderId="2" applyNumberFormat="0" applyProtection="0">
      <alignment vertical="center"/>
    </xf>
    <xf numFmtId="0" fontId="12" fillId="0" borderId="0" applyFill="0" applyBorder="0" applyProtection="0">
      <alignment vertical="center"/>
    </xf>
    <xf numFmtId="167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8" fillId="5" borderId="0" applyBorder="0" applyProtection="0">
      <alignment horizontal="left" vertical="top" wrapText="1" indent="1"/>
    </xf>
    <xf numFmtId="168" fontId="14" fillId="0" borderId="0">
      <alignment horizontal="left" indent="1"/>
    </xf>
    <xf numFmtId="0" fontId="17" fillId="5" borderId="0" applyNumberFormat="0" applyFont="0" applyBorder="0" applyAlignment="0">
      <alignment horizontal="left" vertical="center" indent="1"/>
    </xf>
    <xf numFmtId="0" fontId="13" fillId="0" borderId="0">
      <alignment horizontal="left" indent="1"/>
    </xf>
    <xf numFmtId="0" fontId="15" fillId="0" borderId="0" applyFill="0" applyProtection="0"/>
    <xf numFmtId="0" fontId="19" fillId="0" borderId="0" applyFill="0" applyProtection="0"/>
    <xf numFmtId="0" fontId="9" fillId="0" borderId="0"/>
    <xf numFmtId="0" fontId="22" fillId="8" borderId="5" applyNumberFormat="0" applyAlignment="0" applyProtection="0"/>
    <xf numFmtId="14" fontId="17" fillId="0" borderId="0" applyFont="0" applyFill="0" applyBorder="0" applyAlignment="0"/>
    <xf numFmtId="0" fontId="17" fillId="0" borderId="0">
      <alignment wrapText="1"/>
    </xf>
    <xf numFmtId="0" fontId="23" fillId="9" borderId="0">
      <alignment horizontal="left"/>
    </xf>
    <xf numFmtId="0" fontId="23" fillId="10" borderId="1"/>
    <xf numFmtId="169" fontId="17" fillId="0" borderId="0" applyFont="0" applyFill="0" applyBorder="0">
      <alignment horizontal="left"/>
    </xf>
    <xf numFmtId="0" fontId="17" fillId="0" borderId="1" applyNumberFormat="0" applyFont="0" applyAlignment="0"/>
    <xf numFmtId="0" fontId="25" fillId="0" borderId="6" applyNumberFormat="0" applyFill="0" applyProtection="0"/>
    <xf numFmtId="0" fontId="19" fillId="0" borderId="0">
      <alignment vertical="center" wrapText="1"/>
    </xf>
    <xf numFmtId="0" fontId="26" fillId="0" borderId="0" applyFill="0" applyBorder="0" applyProtection="0">
      <alignment horizontal="left"/>
    </xf>
    <xf numFmtId="0" fontId="27" fillId="0" borderId="0" applyFill="0" applyProtection="0">
      <alignment horizontal="right" indent="2"/>
    </xf>
    <xf numFmtId="170" fontId="24" fillId="0" borderId="0">
      <alignment horizontal="center" vertical="center"/>
    </xf>
    <xf numFmtId="14" fontId="19" fillId="0" borderId="0" applyFill="0" applyBorder="0">
      <alignment horizontal="right" vertical="center"/>
    </xf>
    <xf numFmtId="9" fontId="8" fillId="0" borderId="0" applyFont="0" applyFill="0" applyBorder="0" applyProtection="0">
      <alignment horizontal="right" vertical="center" indent="1"/>
    </xf>
    <xf numFmtId="0" fontId="28" fillId="0" borderId="0" applyNumberFormat="0" applyFill="0" applyBorder="0" applyProtection="0">
      <alignment vertical="center"/>
    </xf>
    <xf numFmtId="0" fontId="28" fillId="0" borderId="0" applyNumberFormat="0" applyFill="0" applyBorder="0" applyAlignment="0" applyProtection="0"/>
    <xf numFmtId="0" fontId="26" fillId="0" borderId="0" applyNumberFormat="0" applyFill="0" applyBorder="0" applyProtection="0">
      <alignment horizontal="center" vertical="center"/>
    </xf>
    <xf numFmtId="0" fontId="29" fillId="0" borderId="0" applyNumberFormat="0" applyFill="0" applyBorder="0" applyProtection="0">
      <alignment vertical="center"/>
    </xf>
    <xf numFmtId="0" fontId="30" fillId="11" borderId="7" applyNumberFormat="0" applyProtection="0">
      <alignment horizontal="left" vertical="center"/>
    </xf>
    <xf numFmtId="1" fontId="31" fillId="11" borderId="7">
      <alignment horizontal="center" vertical="center"/>
    </xf>
    <xf numFmtId="0" fontId="26" fillId="12" borderId="8" applyNumberFormat="0" applyFont="0" applyAlignment="0">
      <alignment horizontal="center"/>
    </xf>
    <xf numFmtId="0" fontId="32" fillId="0" borderId="0" applyNumberFormat="0" applyFill="0" applyBorder="0" applyProtection="0">
      <alignment horizontal="left" vertical="center"/>
    </xf>
    <xf numFmtId="0" fontId="26" fillId="13" borderId="9" applyNumberFormat="0" applyFont="0" applyAlignment="0">
      <alignment horizontal="center"/>
    </xf>
    <xf numFmtId="0" fontId="26" fillId="14" borderId="9" applyNumberFormat="0" applyFont="0" applyAlignment="0">
      <alignment horizontal="center"/>
    </xf>
    <xf numFmtId="0" fontId="26" fillId="15" borderId="9" applyNumberFormat="0" applyFont="0" applyAlignment="0">
      <alignment horizontal="center"/>
    </xf>
    <xf numFmtId="0" fontId="26" fillId="16" borderId="9" applyNumberFormat="0" applyFont="0" applyAlignment="0">
      <alignment horizontal="center"/>
    </xf>
    <xf numFmtId="0" fontId="18" fillId="0" borderId="0" applyFill="0" applyProtection="0">
      <alignment vertical="center"/>
    </xf>
    <xf numFmtId="0" fontId="18" fillId="0" borderId="0" applyFill="0" applyProtection="0">
      <alignment horizontal="center" vertical="center" wrapText="1"/>
    </xf>
    <xf numFmtId="0" fontId="18" fillId="0" borderId="0" applyFill="0" applyProtection="0">
      <alignment horizontal="left"/>
    </xf>
    <xf numFmtId="0" fontId="18" fillId="0" borderId="0" applyFill="0" applyBorder="0" applyProtection="0">
      <alignment horizontal="center" wrapText="1"/>
    </xf>
    <xf numFmtId="3" fontId="18" fillId="0" borderId="10" applyFill="0" applyProtection="0">
      <alignment horizontal="center"/>
    </xf>
    <xf numFmtId="0" fontId="33" fillId="0" borderId="0" applyFill="0" applyBorder="0" applyProtection="0">
      <alignment horizontal="left" wrapText="1"/>
    </xf>
    <xf numFmtId="9" fontId="34" fillId="0" borderId="0" applyFill="0" applyBorder="0" applyProtection="0">
      <alignment horizontal="center" vertical="center"/>
    </xf>
    <xf numFmtId="0" fontId="39" fillId="0" borderId="0" applyNumberFormat="0" applyFill="0" applyBorder="0" applyAlignment="0" applyProtection="0">
      <alignment vertical="top"/>
    </xf>
  </cellStyleXfs>
  <cellXfs count="55">
    <xf numFmtId="0" fontId="0" fillId="0" borderId="0" xfId="0">
      <alignment vertical="top"/>
    </xf>
    <xf numFmtId="0" fontId="9" fillId="0" borderId="4" xfId="17" applyBorder="1"/>
    <xf numFmtId="0" fontId="9" fillId="0" borderId="0" xfId="17"/>
    <xf numFmtId="0" fontId="20" fillId="0" borderId="4" xfId="17" applyFont="1" applyBorder="1"/>
    <xf numFmtId="0" fontId="9" fillId="7" borderId="4" xfId="17" applyFill="1" applyBorder="1"/>
    <xf numFmtId="16" fontId="9" fillId="7" borderId="4" xfId="17" applyNumberFormat="1" applyFill="1" applyBorder="1"/>
    <xf numFmtId="0" fontId="9" fillId="6" borderId="4" xfId="17" applyFill="1" applyBorder="1"/>
    <xf numFmtId="0" fontId="9" fillId="7" borderId="0" xfId="17" applyFill="1"/>
    <xf numFmtId="0" fontId="21" fillId="0" borderId="4" xfId="17" quotePrefix="1" applyFont="1" applyBorder="1" applyAlignment="1">
      <alignment horizontal="center"/>
    </xf>
    <xf numFmtId="0" fontId="7" fillId="7" borderId="4" xfId="17" applyFont="1" applyFill="1" applyBorder="1"/>
    <xf numFmtId="0" fontId="7" fillId="0" borderId="4" xfId="17" applyFont="1" applyBorder="1"/>
    <xf numFmtId="0" fontId="9" fillId="6" borderId="0" xfId="17" applyFill="1"/>
    <xf numFmtId="16" fontId="9" fillId="6" borderId="4" xfId="17" applyNumberFormat="1" applyFill="1" applyBorder="1"/>
    <xf numFmtId="0" fontId="21" fillId="6" borderId="4" xfId="17" quotePrefix="1" applyFont="1" applyFill="1" applyBorder="1" applyAlignment="1">
      <alignment horizontal="center"/>
    </xf>
    <xf numFmtId="14" fontId="9" fillId="6" borderId="4" xfId="17" applyNumberFormat="1" applyFill="1" applyBorder="1"/>
    <xf numFmtId="0" fontId="9" fillId="17" borderId="4" xfId="17" applyFill="1" applyBorder="1"/>
    <xf numFmtId="14" fontId="9" fillId="17" borderId="4" xfId="17" applyNumberFormat="1" applyFill="1" applyBorder="1"/>
    <xf numFmtId="14" fontId="4" fillId="17" borderId="4" xfId="17" applyNumberFormat="1" applyFont="1" applyFill="1" applyBorder="1"/>
    <xf numFmtId="0" fontId="9" fillId="6" borderId="11" xfId="17" applyFill="1" applyBorder="1"/>
    <xf numFmtId="0" fontId="3" fillId="6" borderId="0" xfId="17" applyFont="1" applyFill="1" applyAlignment="1">
      <alignment wrapText="1"/>
    </xf>
    <xf numFmtId="0" fontId="9" fillId="6" borderId="0" xfId="17" applyFill="1" applyAlignment="1">
      <alignment horizontal="center" wrapText="1"/>
    </xf>
    <xf numFmtId="0" fontId="9" fillId="6" borderId="14" xfId="17" applyFill="1" applyBorder="1" applyAlignment="1">
      <alignment horizontal="center" wrapText="1"/>
    </xf>
    <xf numFmtId="0" fontId="35" fillId="17" borderId="4" xfId="17" applyFont="1" applyFill="1" applyBorder="1"/>
    <xf numFmtId="0" fontId="3" fillId="6" borderId="0" xfId="17" applyFont="1" applyFill="1" applyAlignment="1">
      <alignment horizontal="center" wrapText="1"/>
    </xf>
    <xf numFmtId="0" fontId="35" fillId="17" borderId="13" xfId="17" applyFont="1" applyFill="1" applyBorder="1"/>
    <xf numFmtId="0" fontId="9" fillId="17" borderId="13" xfId="17" applyFill="1" applyBorder="1"/>
    <xf numFmtId="0" fontId="35" fillId="6" borderId="4" xfId="17" applyFont="1" applyFill="1" applyBorder="1"/>
    <xf numFmtId="0" fontId="35" fillId="6" borderId="13" xfId="17" applyFont="1" applyFill="1" applyBorder="1"/>
    <xf numFmtId="0" fontId="9" fillId="6" borderId="13" xfId="17" applyFill="1" applyBorder="1"/>
    <xf numFmtId="0" fontId="5" fillId="6" borderId="0" xfId="17" applyFont="1" applyFill="1"/>
    <xf numFmtId="0" fontId="2" fillId="6" borderId="13" xfId="17" applyFont="1" applyFill="1" applyBorder="1"/>
    <xf numFmtId="0" fontId="21" fillId="6" borderId="13" xfId="17" applyFont="1" applyFill="1" applyBorder="1"/>
    <xf numFmtId="14" fontId="9" fillId="6" borderId="13" xfId="17" applyNumberFormat="1" applyFill="1" applyBorder="1"/>
    <xf numFmtId="14" fontId="9" fillId="17" borderId="13" xfId="17" applyNumberFormat="1" applyFill="1" applyBorder="1"/>
    <xf numFmtId="0" fontId="9" fillId="17" borderId="0" xfId="17" applyFill="1"/>
    <xf numFmtId="0" fontId="21" fillId="17" borderId="13" xfId="17" applyFont="1" applyFill="1" applyBorder="1"/>
    <xf numFmtId="0" fontId="2" fillId="17" borderId="4" xfId="17" applyFont="1" applyFill="1" applyBorder="1" applyAlignment="1">
      <alignment horizontal="center" vertical="center"/>
    </xf>
    <xf numFmtId="0" fontId="2" fillId="17" borderId="13" xfId="17" applyFont="1" applyFill="1" applyBorder="1"/>
    <xf numFmtId="0" fontId="5" fillId="17" borderId="0" xfId="17" applyFont="1" applyFill="1"/>
    <xf numFmtId="0" fontId="2" fillId="17" borderId="4" xfId="17" applyFont="1" applyFill="1" applyBorder="1"/>
    <xf numFmtId="0" fontId="21" fillId="17" borderId="4" xfId="17" applyFont="1" applyFill="1" applyBorder="1"/>
    <xf numFmtId="171" fontId="0" fillId="0" borderId="0" xfId="0" applyNumberFormat="1">
      <alignment vertical="top"/>
    </xf>
    <xf numFmtId="0" fontId="37" fillId="17" borderId="0" xfId="0" applyFont="1" applyFill="1">
      <alignment vertical="top"/>
    </xf>
    <xf numFmtId="14" fontId="38" fillId="18" borderId="0" xfId="0" applyNumberFormat="1" applyFont="1" applyFill="1">
      <alignment vertical="top"/>
    </xf>
    <xf numFmtId="0" fontId="40" fillId="18" borderId="0" xfId="51" applyFont="1" applyFill="1">
      <alignment vertical="top"/>
    </xf>
    <xf numFmtId="0" fontId="38" fillId="18" borderId="0" xfId="0" applyFont="1" applyFill="1">
      <alignment vertical="top"/>
    </xf>
    <xf numFmtId="0" fontId="0" fillId="18" borderId="0" xfId="0" applyFill="1">
      <alignment vertical="top"/>
    </xf>
    <xf numFmtId="0" fontId="41" fillId="18" borderId="0" xfId="0" applyFont="1" applyFill="1">
      <alignment vertical="top"/>
    </xf>
    <xf numFmtId="0" fontId="42" fillId="0" borderId="0" xfId="0" applyFont="1" applyAlignment="1">
      <alignment vertical="center"/>
    </xf>
    <xf numFmtId="0" fontId="39" fillId="0" borderId="0" xfId="51">
      <alignment vertical="top"/>
    </xf>
    <xf numFmtId="0" fontId="0" fillId="17" borderId="0" xfId="0" applyFill="1">
      <alignment vertical="top"/>
    </xf>
    <xf numFmtId="0" fontId="9" fillId="6" borderId="0" xfId="17" applyFill="1" applyAlignment="1">
      <alignment horizontal="center" wrapText="1"/>
    </xf>
    <xf numFmtId="0" fontId="9" fillId="6" borderId="12" xfId="17" applyFill="1" applyBorder="1" applyAlignment="1">
      <alignment horizontal="center" wrapText="1"/>
    </xf>
    <xf numFmtId="0" fontId="6" fillId="6" borderId="12" xfId="17" applyFont="1" applyFill="1" applyBorder="1" applyAlignment="1">
      <alignment horizontal="center" wrapText="1"/>
    </xf>
    <xf numFmtId="0" fontId="3" fillId="6" borderId="12" xfId="17" applyFont="1" applyFill="1" applyBorder="1" applyAlignment="1">
      <alignment horizontal="center" wrapText="1"/>
    </xf>
  </cellXfs>
  <cellStyles count="52">
    <cellStyle name="% complete" xfId="41" xr:uid="{00000000-0005-0000-0000-000000000000}"/>
    <cellStyle name="% complete (beyond plan) legend" xfId="43" xr:uid="{00000000-0005-0000-0000-000001000000}"/>
    <cellStyle name="40% - Accent1" xfId="1" builtinId="31" customBuiltin="1"/>
    <cellStyle name="Accent1" xfId="3" builtinId="29" customBuiltin="1"/>
    <cellStyle name="Accent5" xfId="4" builtinId="45" customBuiltin="1"/>
    <cellStyle name="Activity" xfId="49" xr:uid="{00000000-0005-0000-0000-000005000000}"/>
    <cellStyle name="Actual (beyond plan) legend" xfId="42" xr:uid="{00000000-0005-0000-0000-000006000000}"/>
    <cellStyle name="Actual legend" xfId="40" xr:uid="{00000000-0005-0000-0000-000007000000}"/>
    <cellStyle name="Banded" xfId="13" xr:uid="{00000000-0005-0000-0000-000009000000}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9" xr:uid="{00000000-0005-0000-0000-00000E000000}"/>
    <cellStyle name="Date 2" xfId="30" xr:uid="{00000000-0005-0000-0000-00000F000000}"/>
    <cellStyle name="Day" xfId="12" xr:uid="{00000000-0005-0000-0000-000010000000}"/>
    <cellStyle name="Done" xfId="29" xr:uid="{00000000-0005-0000-0000-000011000000}"/>
    <cellStyle name="Explanatory Text 2" xfId="35" xr:uid="{00000000-0005-0000-0000-000012000000}"/>
    <cellStyle name="Heading 1" xfId="2" builtinId="16" customBuiltin="1"/>
    <cellStyle name="Heading 1 2" xfId="27" xr:uid="{00000000-0005-0000-0000-000014000000}"/>
    <cellStyle name="Heading 1 3" xfId="33" xr:uid="{00000000-0005-0000-0000-000015000000}"/>
    <cellStyle name="Heading 2" xfId="15" builtinId="17" customBuiltin="1"/>
    <cellStyle name="Heading 2 2" xfId="21" xr:uid="{00000000-0005-0000-0000-000017000000}"/>
    <cellStyle name="Heading 2 3" xfId="28" xr:uid="{00000000-0005-0000-0000-000018000000}"/>
    <cellStyle name="Heading 2 4" xfId="44" xr:uid="{00000000-0005-0000-0000-000019000000}"/>
    <cellStyle name="Heading 3" xfId="16" builtinId="18" customBuiltin="1"/>
    <cellStyle name="Heading 3 2" xfId="22" xr:uid="{00000000-0005-0000-0000-00001B000000}"/>
    <cellStyle name="Heading 3 3" xfId="45" xr:uid="{00000000-0005-0000-0000-00001C000000}"/>
    <cellStyle name="Heading 4" xfId="11" builtinId="19" customBuiltin="1"/>
    <cellStyle name="Heading 4 2" xfId="46" xr:uid="{00000000-0005-0000-0000-00001E000000}"/>
    <cellStyle name="Hyperlink" xfId="51" builtinId="8"/>
    <cellStyle name="Input 2" xfId="24" xr:uid="{00000000-0005-0000-0000-00001F000000}"/>
    <cellStyle name="Label" xfId="39" xr:uid="{00000000-0005-0000-0000-000020000000}"/>
    <cellStyle name="Normal" xfId="0" builtinId="0" customBuiltin="1"/>
    <cellStyle name="Normal 2" xfId="17" xr:uid="{00000000-0005-0000-0000-000022000000}"/>
    <cellStyle name="Normal 3" xfId="20" xr:uid="{00000000-0005-0000-0000-000023000000}"/>
    <cellStyle name="Normal 4" xfId="26" xr:uid="{00000000-0005-0000-0000-000024000000}"/>
    <cellStyle name="Normal 5" xfId="34" xr:uid="{00000000-0005-0000-0000-000025000000}"/>
    <cellStyle name="Percent" xfId="10" builtinId="5" customBuiltin="1"/>
    <cellStyle name="Percent 2" xfId="31" xr:uid="{00000000-0005-0000-0000-000027000000}"/>
    <cellStyle name="Percent Complete" xfId="50" xr:uid="{00000000-0005-0000-0000-000028000000}"/>
    <cellStyle name="Period Headers" xfId="48" xr:uid="{00000000-0005-0000-0000-000029000000}"/>
    <cellStyle name="Period Highlight Control" xfId="36" xr:uid="{00000000-0005-0000-0000-00002A000000}"/>
    <cellStyle name="Period Value" xfId="37" xr:uid="{00000000-0005-0000-0000-00002B000000}"/>
    <cellStyle name="Plan legend" xfId="38" xr:uid="{00000000-0005-0000-0000-00002C000000}"/>
    <cellStyle name="Project Headers" xfId="47" xr:uid="{00000000-0005-0000-0000-00002D000000}"/>
    <cellStyle name="Settings Entry" xfId="14" xr:uid="{00000000-0005-0000-0000-00002E000000}"/>
    <cellStyle name="Time" xfId="23" xr:uid="{00000000-0005-0000-0000-00002F000000}"/>
    <cellStyle name="Title" xfId="5" builtinId="15" customBuiltin="1"/>
    <cellStyle name="Title 2" xfId="18" xr:uid="{00000000-0005-0000-0000-000031000000}"/>
    <cellStyle name="Title 3" xfId="25" xr:uid="{00000000-0005-0000-0000-000032000000}"/>
    <cellStyle name="Title 4" xfId="32" xr:uid="{00000000-0005-0000-0000-000033000000}"/>
  </cellStyles>
  <dxfs count="1">
    <dxf>
      <border>
        <bottom style="thin">
          <color theme="0" tint="-0.14993743705557422"/>
        </bottom>
        <horizontal style="thin">
          <color theme="0" tint="-0.14996795556505021"/>
        </horizontal>
      </border>
    </dxf>
  </dxfs>
  <tableStyles count="1" defaultTableStyle="TableStyleMedium9" defaultPivotStyle="PivotStyleLight16">
    <tableStyle name="To-Do List" pivot="0" count="1" xr9:uid="{00000000-0011-0000-FFFF-FFFF00000000}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  <mruColors>
      <color rgb="FFFFFF00"/>
      <color rgb="FF00CC66"/>
      <color rgb="FF66FF99"/>
      <color rgb="FFCC66FF"/>
      <color rgb="FF9933FF"/>
      <color rgb="FFFF9966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124545</xdr:colOff>
      <xdr:row>0</xdr:row>
      <xdr:rowOff>76200</xdr:rowOff>
    </xdr:from>
    <xdr:to>
      <xdr:col>22</xdr:col>
      <xdr:colOff>584834</xdr:colOff>
      <xdr:row>0</xdr:row>
      <xdr:rowOff>472440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38174" y="76200"/>
          <a:ext cx="1897204" cy="396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p@o" TargetMode="External"/><Relationship Id="rId1" Type="http://schemas.openxmlformats.org/officeDocument/2006/relationships/hyperlink" Target="mailto:tinku020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77"/>
  <sheetViews>
    <sheetView zoomScale="85" zoomScaleNormal="85" workbookViewId="0">
      <pane ySplit="1" topLeftCell="A9" activePane="bottomLeft" state="frozen"/>
      <selection pane="bottomLeft" activeCell="D16" sqref="D16"/>
    </sheetView>
  </sheetViews>
  <sheetFormatPr defaultRowHeight="14.4"/>
  <cols>
    <col min="1" max="1" width="2.77734375" style="2" customWidth="1"/>
    <col min="2" max="2" width="4.21875" style="2" customWidth="1"/>
    <col min="3" max="3" width="63.44140625" style="2" customWidth="1"/>
    <col min="4" max="4" width="10.6640625" style="2" bestFit="1" customWidth="1"/>
    <col min="5" max="5" width="10.5546875" style="2" bestFit="1" customWidth="1"/>
    <col min="6" max="6" width="10.77734375" style="2" bestFit="1" customWidth="1"/>
    <col min="7" max="8" width="10.5546875" style="2" bestFit="1" customWidth="1"/>
    <col min="9" max="10" width="10.33203125" style="2" bestFit="1" customWidth="1"/>
    <col min="11" max="11" width="10.5546875" style="2" bestFit="1" customWidth="1"/>
    <col min="12" max="12" width="10.33203125" style="2" bestFit="1" customWidth="1"/>
    <col min="13" max="13" width="10.5546875" style="2" bestFit="1" customWidth="1"/>
    <col min="14" max="16" width="10.33203125" style="2" bestFit="1" customWidth="1"/>
    <col min="17" max="18" width="10.5546875" style="2" bestFit="1" customWidth="1"/>
    <col min="19" max="19" width="11.44140625" style="2" customWidth="1"/>
    <col min="20" max="20" width="10.33203125" style="2" customWidth="1"/>
    <col min="21" max="21" width="10.5546875" style="2" bestFit="1" customWidth="1"/>
    <col min="22" max="22" width="10.33203125" style="2" bestFit="1" customWidth="1"/>
    <col min="23" max="23" width="9.77734375" style="2" customWidth="1"/>
    <col min="24" max="16384" width="8.88671875" style="2"/>
  </cols>
  <sheetData>
    <row r="1" spans="2:28" ht="77.400000000000006" customHeight="1">
      <c r="B1" s="18" t="s">
        <v>0</v>
      </c>
      <c r="C1" s="19" t="s">
        <v>31</v>
      </c>
      <c r="D1" s="20" t="s">
        <v>1</v>
      </c>
      <c r="E1" s="23" t="s">
        <v>33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51" t="s">
        <v>8</v>
      </c>
      <c r="M1" s="51"/>
      <c r="N1" s="52" t="s">
        <v>9</v>
      </c>
      <c r="O1" s="52"/>
      <c r="P1" s="20" t="s">
        <v>10</v>
      </c>
      <c r="Q1" s="53" t="s">
        <v>20</v>
      </c>
      <c r="R1" s="53"/>
      <c r="S1" s="20" t="s">
        <v>11</v>
      </c>
      <c r="T1" s="54" t="s">
        <v>12</v>
      </c>
      <c r="U1" s="52"/>
      <c r="V1" s="20" t="s">
        <v>13</v>
      </c>
      <c r="W1" s="21" t="s">
        <v>14</v>
      </c>
    </row>
    <row r="2" spans="2:28" s="11" customFormat="1" ht="15.6" customHeight="1">
      <c r="B2" s="26"/>
      <c r="C2" s="27" t="s">
        <v>55</v>
      </c>
      <c r="D2" s="31" t="s">
        <v>29</v>
      </c>
      <c r="E2" s="32">
        <v>46114</v>
      </c>
      <c r="F2" s="28"/>
      <c r="G2" s="28"/>
      <c r="H2" s="28"/>
      <c r="I2" s="28"/>
      <c r="J2" s="28"/>
      <c r="K2" s="28"/>
      <c r="L2" s="28"/>
      <c r="M2" s="28"/>
      <c r="N2" s="6"/>
      <c r="O2" s="6"/>
      <c r="P2" s="28"/>
      <c r="Q2" s="14">
        <v>46386</v>
      </c>
      <c r="R2" s="6"/>
      <c r="S2" s="28"/>
      <c r="T2" s="6"/>
      <c r="U2" s="6"/>
      <c r="V2" s="28"/>
      <c r="W2" s="28"/>
      <c r="Y2" s="30" t="s">
        <v>49</v>
      </c>
      <c r="Z2" s="29"/>
      <c r="AB2" s="29"/>
    </row>
    <row r="3" spans="2:28" s="11" customFormat="1" ht="15.6" customHeight="1">
      <c r="B3" s="26"/>
      <c r="C3" s="27" t="s">
        <v>35</v>
      </c>
      <c r="D3" s="31" t="s">
        <v>30</v>
      </c>
      <c r="E3" s="32"/>
      <c r="F3" s="28"/>
      <c r="G3" s="28"/>
      <c r="H3" s="28"/>
      <c r="I3" s="28"/>
      <c r="J3" s="28"/>
      <c r="K3" s="28"/>
      <c r="L3" s="28"/>
      <c r="M3" s="28"/>
      <c r="N3" s="6"/>
      <c r="O3" s="6"/>
      <c r="P3" s="28"/>
      <c r="Q3" s="14">
        <v>46386</v>
      </c>
      <c r="R3" s="6"/>
      <c r="S3" s="28"/>
      <c r="T3" s="6"/>
      <c r="U3" s="6"/>
      <c r="V3" s="28"/>
      <c r="W3" s="28"/>
      <c r="Y3" s="30" t="s">
        <v>49</v>
      </c>
      <c r="Z3" s="29"/>
      <c r="AB3" s="29"/>
    </row>
    <row r="4" spans="2:28" s="11" customFormat="1" ht="15.6" customHeight="1">
      <c r="B4" s="26"/>
      <c r="C4" s="27" t="s">
        <v>34</v>
      </c>
      <c r="D4" s="31" t="s">
        <v>52</v>
      </c>
      <c r="E4" s="28"/>
      <c r="F4" s="28"/>
      <c r="G4" s="28"/>
      <c r="H4" s="28"/>
      <c r="I4" s="28"/>
      <c r="J4" s="28"/>
      <c r="K4" s="28"/>
      <c r="L4" s="28"/>
      <c r="M4" s="28"/>
      <c r="N4" s="6"/>
      <c r="O4" s="6"/>
      <c r="P4" s="28"/>
      <c r="Q4" s="14"/>
      <c r="R4" s="6"/>
      <c r="S4" s="28"/>
      <c r="T4" s="6"/>
      <c r="U4" s="6"/>
      <c r="V4" s="28"/>
      <c r="W4" s="28"/>
      <c r="Y4" s="30" t="s">
        <v>50</v>
      </c>
      <c r="Z4" s="29"/>
      <c r="AB4" s="29"/>
    </row>
    <row r="5" spans="2:28" s="34" customFormat="1" ht="15.6" customHeight="1">
      <c r="B5" s="22"/>
      <c r="C5" s="24" t="s">
        <v>36</v>
      </c>
      <c r="D5" s="35" t="s">
        <v>29</v>
      </c>
      <c r="E5" s="33">
        <v>46085</v>
      </c>
      <c r="F5" s="33">
        <v>46085</v>
      </c>
      <c r="G5" s="33">
        <v>46086</v>
      </c>
      <c r="H5" s="33">
        <v>46086</v>
      </c>
      <c r="I5" s="33">
        <v>46090</v>
      </c>
      <c r="J5" s="33">
        <v>46090</v>
      </c>
      <c r="K5" s="33">
        <v>46086</v>
      </c>
      <c r="L5" s="33">
        <v>46086</v>
      </c>
      <c r="M5" s="33">
        <v>46090</v>
      </c>
      <c r="N5" s="36" t="s">
        <v>54</v>
      </c>
      <c r="O5" s="36" t="s">
        <v>54</v>
      </c>
      <c r="P5" s="25"/>
      <c r="Q5" s="16"/>
      <c r="R5" s="15"/>
      <c r="S5" s="25"/>
      <c r="T5" s="15"/>
      <c r="U5" s="15"/>
      <c r="V5" s="25"/>
      <c r="W5" s="25"/>
      <c r="Y5" s="37" t="s">
        <v>50</v>
      </c>
      <c r="Z5" s="38"/>
      <c r="AB5" s="38"/>
    </row>
    <row r="6" spans="2:28" s="34" customFormat="1" ht="15.6" customHeight="1">
      <c r="B6" s="22"/>
      <c r="C6" s="24" t="s">
        <v>37</v>
      </c>
      <c r="D6" s="35" t="s">
        <v>30</v>
      </c>
      <c r="E6" s="25"/>
      <c r="F6" s="25"/>
      <c r="G6" s="25"/>
      <c r="H6" s="25"/>
      <c r="I6" s="25"/>
      <c r="J6" s="25"/>
      <c r="K6" s="25"/>
      <c r="L6" s="25"/>
      <c r="M6" s="25"/>
      <c r="N6" s="15"/>
      <c r="O6" s="15"/>
      <c r="P6" s="25"/>
      <c r="Q6" s="16"/>
      <c r="R6" s="15"/>
      <c r="S6" s="25"/>
      <c r="T6" s="15"/>
      <c r="U6" s="15"/>
      <c r="V6" s="25"/>
      <c r="W6" s="25"/>
      <c r="Y6" s="37" t="s">
        <v>49</v>
      </c>
      <c r="Z6" s="38"/>
      <c r="AB6" s="38"/>
    </row>
    <row r="7" spans="2:28" s="34" customFormat="1" ht="15.6" customHeight="1">
      <c r="B7" s="22"/>
      <c r="C7" s="24" t="s">
        <v>38</v>
      </c>
      <c r="D7" s="35" t="s">
        <v>53</v>
      </c>
      <c r="E7" s="25"/>
      <c r="F7" s="25"/>
      <c r="G7" s="25"/>
      <c r="H7" s="25"/>
      <c r="I7" s="25"/>
      <c r="J7" s="25"/>
      <c r="K7" s="25"/>
      <c r="L7" s="25"/>
      <c r="M7" s="25"/>
      <c r="N7" s="15"/>
      <c r="O7" s="15"/>
      <c r="P7" s="25"/>
      <c r="Q7" s="16"/>
      <c r="R7" s="15"/>
      <c r="S7" s="25"/>
      <c r="T7" s="15"/>
      <c r="U7" s="15"/>
      <c r="V7" s="25"/>
      <c r="W7" s="25"/>
      <c r="Y7" s="37" t="s">
        <v>50</v>
      </c>
      <c r="Z7" s="38"/>
      <c r="AB7" s="38"/>
    </row>
    <row r="8" spans="2:28" s="34" customFormat="1" ht="15.6" customHeight="1">
      <c r="B8" s="15"/>
      <c r="C8" s="24" t="s">
        <v>39</v>
      </c>
      <c r="D8" s="35" t="s">
        <v>53</v>
      </c>
      <c r="E8" s="15"/>
      <c r="F8" s="15"/>
      <c r="G8" s="16"/>
      <c r="H8" s="15"/>
      <c r="I8" s="15"/>
      <c r="J8" s="15"/>
      <c r="K8" s="17"/>
      <c r="L8" s="17"/>
      <c r="M8" s="17"/>
      <c r="N8" s="15"/>
      <c r="O8" s="15"/>
      <c r="P8" s="15"/>
      <c r="Q8" s="15"/>
      <c r="R8" s="15"/>
      <c r="S8" s="15"/>
      <c r="T8" s="15"/>
      <c r="U8" s="15"/>
      <c r="V8" s="15"/>
      <c r="W8" s="15"/>
      <c r="Y8" s="39" t="s">
        <v>51</v>
      </c>
    </row>
    <row r="9" spans="2:28" s="34" customFormat="1" ht="15.6" customHeight="1">
      <c r="B9" s="15"/>
      <c r="C9" s="24" t="s">
        <v>40</v>
      </c>
      <c r="D9" s="35" t="s">
        <v>53</v>
      </c>
      <c r="E9" s="15"/>
      <c r="F9" s="15"/>
      <c r="G9" s="16"/>
      <c r="H9" s="15"/>
      <c r="I9" s="15"/>
      <c r="J9" s="15"/>
      <c r="K9" s="17"/>
      <c r="L9" s="17"/>
      <c r="M9" s="17"/>
      <c r="N9" s="15"/>
      <c r="O9" s="15"/>
      <c r="P9" s="15"/>
      <c r="Q9" s="15"/>
      <c r="R9" s="15"/>
      <c r="S9" s="15"/>
      <c r="T9" s="15"/>
      <c r="U9" s="15"/>
      <c r="V9" s="15"/>
      <c r="W9" s="15"/>
      <c r="Y9" s="37" t="s">
        <v>49</v>
      </c>
    </row>
    <row r="10" spans="2:28" s="34" customFormat="1" ht="15.6" customHeight="1">
      <c r="B10" s="15"/>
      <c r="C10" s="24" t="s">
        <v>41</v>
      </c>
      <c r="D10" s="35" t="s">
        <v>53</v>
      </c>
      <c r="E10" s="15"/>
      <c r="F10" s="15"/>
      <c r="G10" s="16"/>
      <c r="H10" s="15"/>
      <c r="I10" s="15"/>
      <c r="J10" s="15"/>
      <c r="K10" s="17"/>
      <c r="L10" s="17"/>
      <c r="M10" s="17"/>
      <c r="N10" s="15"/>
      <c r="O10" s="15"/>
      <c r="P10" s="15"/>
      <c r="Q10" s="15"/>
      <c r="R10" s="15"/>
      <c r="S10" s="15"/>
      <c r="T10" s="15"/>
      <c r="U10" s="15"/>
      <c r="V10" s="15"/>
      <c r="W10" s="15"/>
      <c r="Y10" s="37" t="s">
        <v>49</v>
      </c>
    </row>
    <row r="11" spans="2:28" s="34" customFormat="1" ht="15.6" customHeight="1">
      <c r="B11" s="15"/>
      <c r="C11" s="24" t="s">
        <v>42</v>
      </c>
      <c r="D11" s="35" t="s">
        <v>29</v>
      </c>
      <c r="E11" s="15"/>
      <c r="F11" s="15"/>
      <c r="G11" s="16"/>
      <c r="H11" s="15"/>
      <c r="I11" s="15"/>
      <c r="J11" s="15"/>
      <c r="K11" s="17"/>
      <c r="L11" s="17"/>
      <c r="M11" s="17"/>
      <c r="N11" s="15"/>
      <c r="O11" s="15"/>
      <c r="P11" s="15"/>
      <c r="Q11" s="15"/>
      <c r="R11" s="15"/>
      <c r="S11" s="15"/>
      <c r="T11" s="15"/>
      <c r="U11" s="15"/>
      <c r="V11" s="15"/>
      <c r="W11" s="15"/>
      <c r="Y11" s="37" t="s">
        <v>49</v>
      </c>
    </row>
    <row r="12" spans="2:28" s="34" customFormat="1" ht="15.6" customHeight="1">
      <c r="B12" s="15"/>
      <c r="C12" s="24" t="s">
        <v>43</v>
      </c>
      <c r="D12" s="35" t="s">
        <v>29</v>
      </c>
      <c r="E12" s="15"/>
      <c r="F12" s="15"/>
      <c r="G12" s="16"/>
      <c r="H12" s="15"/>
      <c r="I12" s="15"/>
      <c r="J12" s="15"/>
      <c r="K12" s="17"/>
      <c r="L12" s="17"/>
      <c r="M12" s="17"/>
      <c r="N12" s="15"/>
      <c r="O12" s="15"/>
      <c r="P12" s="15"/>
      <c r="Q12" s="15"/>
      <c r="R12" s="15"/>
      <c r="S12" s="15"/>
      <c r="T12" s="15"/>
      <c r="U12" s="15"/>
      <c r="V12" s="15"/>
      <c r="W12" s="15"/>
      <c r="Y12" s="37" t="s">
        <v>49</v>
      </c>
    </row>
    <row r="13" spans="2:28" s="34" customFormat="1" ht="16.05" customHeight="1">
      <c r="B13" s="15"/>
      <c r="C13" s="24" t="s">
        <v>44</v>
      </c>
      <c r="D13" s="35" t="s">
        <v>29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Y13" s="37" t="s">
        <v>49</v>
      </c>
    </row>
    <row r="14" spans="2:28" s="34" customFormat="1" ht="16.05" customHeight="1">
      <c r="B14" s="15"/>
      <c r="C14" s="24" t="s">
        <v>45</v>
      </c>
      <c r="D14" s="35" t="s">
        <v>29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Y14" s="37" t="s">
        <v>49</v>
      </c>
    </row>
    <row r="15" spans="2:28" s="34" customFormat="1" ht="16.05" customHeight="1">
      <c r="B15" s="15"/>
      <c r="C15" s="24" t="s">
        <v>32</v>
      </c>
      <c r="D15" s="35" t="s">
        <v>53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Y15" s="15"/>
    </row>
    <row r="16" spans="2:28" s="34" customFormat="1" ht="16.05" customHeight="1">
      <c r="B16" s="15"/>
      <c r="C16" s="24" t="s">
        <v>46</v>
      </c>
      <c r="D16" s="35" t="s">
        <v>29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Y16" s="37" t="s">
        <v>49</v>
      </c>
    </row>
    <row r="17" spans="2:25" s="34" customFormat="1" ht="16.05" customHeight="1">
      <c r="B17" s="15"/>
      <c r="C17" s="24" t="s">
        <v>47</v>
      </c>
      <c r="D17" s="35" t="s">
        <v>29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Y17" s="37" t="s">
        <v>49</v>
      </c>
    </row>
    <row r="18" spans="2:25" s="34" customFormat="1" ht="16.05" customHeight="1">
      <c r="B18" s="15"/>
      <c r="C18" s="24" t="s">
        <v>48</v>
      </c>
      <c r="D18" s="35" t="s">
        <v>29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Y18" s="37" t="s">
        <v>49</v>
      </c>
    </row>
    <row r="19" spans="2:25" s="34" customFormat="1" ht="16.05" customHeight="1">
      <c r="B19" s="15"/>
      <c r="C19" s="24" t="s">
        <v>25</v>
      </c>
      <c r="D19" s="35" t="s">
        <v>29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Y19" s="37" t="s">
        <v>28</v>
      </c>
    </row>
    <row r="20" spans="2:25" s="34" customFormat="1" ht="16.05" customHeight="1">
      <c r="B20" s="15"/>
      <c r="C20" s="24" t="s">
        <v>24</v>
      </c>
      <c r="D20" s="35" t="s">
        <v>29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Y20" s="37" t="s">
        <v>51</v>
      </c>
    </row>
    <row r="21" spans="2:25" s="34" customFormat="1" ht="16.05" customHeight="1">
      <c r="B21" s="15"/>
      <c r="C21" s="24" t="s">
        <v>23</v>
      </c>
      <c r="D21" s="40" t="s">
        <v>29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Y21" s="39" t="s">
        <v>50</v>
      </c>
    </row>
    <row r="22" spans="2:25" s="34" customFormat="1" ht="16.05" customHeight="1">
      <c r="B22" s="15"/>
      <c r="C22" s="24" t="s">
        <v>22</v>
      </c>
      <c r="D22" s="40" t="s">
        <v>29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Y22" s="39" t="s">
        <v>50</v>
      </c>
    </row>
    <row r="23" spans="2:25" s="34" customFormat="1" ht="16.05" customHeight="1">
      <c r="B23" s="15"/>
      <c r="C23" s="24" t="s">
        <v>27</v>
      </c>
      <c r="D23" s="40" t="s">
        <v>30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Y23" s="39" t="s">
        <v>49</v>
      </c>
    </row>
    <row r="24" spans="2:25" s="34" customFormat="1" ht="16.05" customHeight="1">
      <c r="B24" s="15"/>
      <c r="C24" s="24" t="s">
        <v>26</v>
      </c>
      <c r="D24" s="40" t="s">
        <v>29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Y24" s="39" t="s">
        <v>49</v>
      </c>
    </row>
    <row r="25" spans="2:25" ht="16.05" customHeight="1">
      <c r="B25" s="1"/>
      <c r="C25" s="2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5" ht="16.05" customHeight="1">
      <c r="B26" s="1"/>
      <c r="C26" s="27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5" ht="16.05" customHeight="1">
      <c r="B27" s="1"/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5" ht="16.05" customHeight="1">
      <c r="B28" s="1"/>
      <c r="C28" s="27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5" ht="16.05" customHeight="1">
      <c r="B29" s="1"/>
      <c r="C29" s="27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5" ht="16.05" customHeight="1">
      <c r="B30" s="1"/>
      <c r="C30" s="2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5" ht="16.05" customHeight="1">
      <c r="B31" s="1"/>
      <c r="C31" s="2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5" ht="16.05" customHeight="1">
      <c r="B32" s="1"/>
      <c r="C32" s="2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16.05" customHeight="1">
      <c r="B33" s="1"/>
      <c r="C33" s="2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>
      <c r="B34" s="1"/>
      <c r="C34" s="3" t="s">
        <v>21</v>
      </c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s="11" customFormat="1" ht="16.05" customHeight="1">
      <c r="B35" s="6">
        <v>1</v>
      </c>
      <c r="C35" s="6"/>
      <c r="D35" s="6"/>
      <c r="E35" s="12"/>
      <c r="F35" s="6"/>
      <c r="G35" s="12"/>
      <c r="H35" s="13"/>
      <c r="I35" s="13"/>
      <c r="J35" s="13"/>
      <c r="K35" s="13"/>
      <c r="L35" s="12"/>
      <c r="M35" s="12"/>
      <c r="N35" s="12"/>
      <c r="O35" s="13"/>
      <c r="P35" s="13"/>
      <c r="Q35" s="13"/>
      <c r="R35" s="13"/>
      <c r="S35" s="12"/>
      <c r="T35" s="12"/>
      <c r="U35" s="12"/>
      <c r="V35" s="13"/>
      <c r="W35" s="6"/>
    </row>
    <row r="36" spans="2:23" s="7" customFormat="1" ht="16.05" customHeight="1">
      <c r="B36" s="4">
        <v>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2:23" ht="16.05" customHeight="1">
      <c r="B37" s="1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16.0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16.0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>
      <c r="B40" s="1"/>
      <c r="C40" s="3" t="s">
        <v>15</v>
      </c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s="11" customFormat="1" ht="16.05" customHeight="1">
      <c r="B41" s="6">
        <v>1</v>
      </c>
      <c r="C41" s="6"/>
      <c r="D41" s="6"/>
      <c r="E41" s="12"/>
      <c r="F41" s="6"/>
      <c r="G41" s="12"/>
      <c r="H41" s="13"/>
      <c r="I41" s="13"/>
      <c r="J41" s="13"/>
      <c r="K41" s="13"/>
      <c r="L41" s="12"/>
      <c r="M41" s="12"/>
      <c r="N41" s="12"/>
      <c r="O41" s="13"/>
      <c r="P41" s="13"/>
      <c r="Q41" s="13"/>
      <c r="R41" s="13"/>
      <c r="S41" s="12"/>
      <c r="T41" s="12"/>
      <c r="U41" s="12"/>
      <c r="V41" s="13"/>
      <c r="W41" s="6"/>
    </row>
    <row r="42" spans="2:23" s="7" customFormat="1" ht="16.05" customHeight="1">
      <c r="B42" s="4">
        <v>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2:23" ht="16.05" customHeight="1">
      <c r="B43" s="1">
        <v>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ht="16.0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ht="16.05" customHeight="1">
      <c r="B45" s="1" t="s">
        <v>16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ht="16.0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>
      <c r="B47" s="1"/>
      <c r="C47" s="3" t="s">
        <v>17</v>
      </c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>
      <c r="B48" s="1">
        <v>1</v>
      </c>
      <c r="C48" s="10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ht="16.05" customHeight="1">
      <c r="B49" s="1"/>
      <c r="C49" s="9"/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16.0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16.0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ht="16.0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ht="16.0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>
      <c r="B54" s="1"/>
      <c r="C54" s="3" t="s">
        <v>18</v>
      </c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>
      <c r="B57" s="1"/>
      <c r="C57" s="3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ht="16.0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16.0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ht="16.0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16.05" customHeight="1">
      <c r="B62" s="1"/>
      <c r="C62" s="3" t="s">
        <v>19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ht="16.0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>
      <c r="B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>
      <c r="B65" s="1"/>
      <c r="C65" s="1"/>
      <c r="D65" s="1"/>
      <c r="E65" s="5"/>
      <c r="F65" s="1"/>
      <c r="G65" s="5"/>
      <c r="H65" s="8"/>
      <c r="I65" s="1"/>
      <c r="J65" s="1"/>
      <c r="K65" s="8"/>
      <c r="L65" s="5"/>
      <c r="M65" s="5"/>
      <c r="N65" s="5"/>
      <c r="O65" s="8"/>
      <c r="P65" s="8"/>
      <c r="Q65" s="8"/>
      <c r="R65" s="8"/>
      <c r="S65" s="5"/>
      <c r="T65" s="5"/>
      <c r="U65" s="5"/>
      <c r="V65" s="8"/>
      <c r="W65" s="1"/>
    </row>
    <row r="66" spans="2:2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>
      <c r="B67" s="1"/>
      <c r="C67" s="3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ht="16.0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16.0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ht="16.0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ht="16.0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ht="16.0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>
      <c r="B73" s="1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>
      <c r="B76" s="1"/>
      <c r="C76" s="3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</sheetData>
  <mergeCells count="4">
    <mergeCell ref="L1:M1"/>
    <mergeCell ref="N1:O1"/>
    <mergeCell ref="Q1:R1"/>
    <mergeCell ref="T1:U1"/>
  </mergeCells>
  <pageMargins left="0.7" right="0.7" top="0.75" bottom="0.75" header="0.3" footer="0.3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9225-5B11-4C4B-91F6-11F10A0A5A5E}">
  <dimension ref="D4:N20"/>
  <sheetViews>
    <sheetView workbookViewId="0">
      <selection activeCell="A28" sqref="A28"/>
    </sheetView>
  </sheetViews>
  <sheetFormatPr defaultRowHeight="14.4"/>
  <cols>
    <col min="6" max="6" width="17.109375" customWidth="1"/>
    <col min="7" max="7" width="11.88671875" bestFit="1" customWidth="1"/>
    <col min="8" max="8" width="12.88671875" bestFit="1" customWidth="1"/>
    <col min="9" max="9" width="12.5546875" bestFit="1" customWidth="1"/>
    <col min="10" max="10" width="12.88671875" bestFit="1" customWidth="1"/>
    <col min="11" max="12" width="11.88671875" bestFit="1" customWidth="1"/>
  </cols>
  <sheetData>
    <row r="4" spans="4:14">
      <c r="K4" s="41">
        <f>G5*30%</f>
        <v>24450</v>
      </c>
    </row>
    <row r="5" spans="4:14">
      <c r="D5">
        <v>1</v>
      </c>
      <c r="E5">
        <v>2026</v>
      </c>
      <c r="F5" s="41">
        <v>83500</v>
      </c>
      <c r="G5" s="41">
        <v>81500</v>
      </c>
      <c r="H5" s="41">
        <f t="shared" ref="H5:H14" si="0">F5*13</f>
        <v>1085500</v>
      </c>
      <c r="I5" s="41">
        <f>J5-H5</f>
        <v>317850</v>
      </c>
      <c r="J5" s="41">
        <f t="shared" ref="J5:J14" si="1">L5*13</f>
        <v>1403350</v>
      </c>
      <c r="K5" s="41">
        <f>G5+K4-5000</f>
        <v>100950</v>
      </c>
      <c r="L5" s="41">
        <f>F5+K4</f>
        <v>107950</v>
      </c>
      <c r="M5">
        <v>2026</v>
      </c>
      <c r="N5">
        <v>1</v>
      </c>
    </row>
    <row r="6" spans="4:14">
      <c r="D6">
        <v>2</v>
      </c>
      <c r="E6">
        <v>2027</v>
      </c>
      <c r="F6" s="41">
        <f>F5+7500</f>
        <v>91000</v>
      </c>
      <c r="G6" s="41">
        <f>G5+7500</f>
        <v>89000</v>
      </c>
      <c r="H6" s="41">
        <f t="shared" si="0"/>
        <v>1183000</v>
      </c>
      <c r="I6" s="41">
        <f t="shared" ref="I6:I14" si="2">J6-H6</f>
        <v>285350</v>
      </c>
      <c r="J6" s="41">
        <f t="shared" si="1"/>
        <v>1468350</v>
      </c>
      <c r="K6" s="41">
        <f t="shared" ref="K6:K14" si="3">K5+K5*8%</f>
        <v>109026</v>
      </c>
      <c r="L6" s="41">
        <f>L5+5000</f>
        <v>112950</v>
      </c>
      <c r="M6">
        <v>2027</v>
      </c>
      <c r="N6">
        <v>2</v>
      </c>
    </row>
    <row r="7" spans="4:14">
      <c r="D7">
        <v>3</v>
      </c>
      <c r="E7">
        <v>2028</v>
      </c>
      <c r="F7" s="41">
        <f t="shared" ref="F7:G14" si="4">F6+7500</f>
        <v>98500</v>
      </c>
      <c r="G7" s="41">
        <f t="shared" si="4"/>
        <v>96500</v>
      </c>
      <c r="H7" s="41">
        <f t="shared" si="0"/>
        <v>1280500</v>
      </c>
      <c r="I7" s="41">
        <f t="shared" si="2"/>
        <v>285350</v>
      </c>
      <c r="J7" s="41">
        <f t="shared" si="1"/>
        <v>1565850</v>
      </c>
      <c r="K7" s="41">
        <f t="shared" si="3"/>
        <v>117748.08</v>
      </c>
      <c r="L7" s="41">
        <f t="shared" ref="L7:L14" si="5">L6+7500</f>
        <v>120450</v>
      </c>
      <c r="M7">
        <v>2028</v>
      </c>
      <c r="N7">
        <v>3</v>
      </c>
    </row>
    <row r="8" spans="4:14">
      <c r="D8">
        <v>4</v>
      </c>
      <c r="E8">
        <v>2029</v>
      </c>
      <c r="F8" s="41">
        <f t="shared" si="4"/>
        <v>106000</v>
      </c>
      <c r="G8" s="41">
        <f t="shared" si="4"/>
        <v>104000</v>
      </c>
      <c r="H8" s="41">
        <f t="shared" si="0"/>
        <v>1378000</v>
      </c>
      <c r="I8" s="41">
        <f t="shared" si="2"/>
        <v>285350</v>
      </c>
      <c r="J8" s="41">
        <f t="shared" si="1"/>
        <v>1663350</v>
      </c>
      <c r="K8" s="41">
        <f t="shared" si="3"/>
        <v>127167.9264</v>
      </c>
      <c r="L8" s="41">
        <f t="shared" si="5"/>
        <v>127950</v>
      </c>
      <c r="M8">
        <v>2029</v>
      </c>
      <c r="N8">
        <v>4</v>
      </c>
    </row>
    <row r="9" spans="4:14">
      <c r="D9">
        <v>5</v>
      </c>
      <c r="E9">
        <v>2030</v>
      </c>
      <c r="F9" s="41">
        <f t="shared" si="4"/>
        <v>113500</v>
      </c>
      <c r="G9" s="41">
        <f t="shared" si="4"/>
        <v>111500</v>
      </c>
      <c r="H9" s="41">
        <f t="shared" si="0"/>
        <v>1475500</v>
      </c>
      <c r="I9" s="41">
        <f t="shared" si="2"/>
        <v>285350</v>
      </c>
      <c r="J9" s="41">
        <f t="shared" si="1"/>
        <v>1760850</v>
      </c>
      <c r="K9" s="41">
        <f t="shared" si="3"/>
        <v>137341.36051199998</v>
      </c>
      <c r="L9" s="41">
        <f t="shared" si="5"/>
        <v>135450</v>
      </c>
      <c r="M9">
        <v>2030</v>
      </c>
      <c r="N9">
        <v>5</v>
      </c>
    </row>
    <row r="10" spans="4:14">
      <c r="D10">
        <v>6</v>
      </c>
      <c r="E10">
        <v>2031</v>
      </c>
      <c r="F10" s="41">
        <f t="shared" si="4"/>
        <v>121000</v>
      </c>
      <c r="G10" s="41">
        <f t="shared" si="4"/>
        <v>119000</v>
      </c>
      <c r="H10" s="41">
        <f t="shared" si="0"/>
        <v>1573000</v>
      </c>
      <c r="I10" s="41">
        <f t="shared" si="2"/>
        <v>285350</v>
      </c>
      <c r="J10" s="41">
        <f t="shared" si="1"/>
        <v>1858350</v>
      </c>
      <c r="K10" s="41">
        <f t="shared" si="3"/>
        <v>148328.66935295999</v>
      </c>
      <c r="L10" s="41">
        <f t="shared" si="5"/>
        <v>142950</v>
      </c>
      <c r="M10">
        <v>2031</v>
      </c>
      <c r="N10">
        <v>6</v>
      </c>
    </row>
    <row r="11" spans="4:14">
      <c r="D11">
        <v>7</v>
      </c>
      <c r="E11">
        <v>2032</v>
      </c>
      <c r="F11" s="41">
        <f t="shared" si="4"/>
        <v>128500</v>
      </c>
      <c r="G11" s="41">
        <f t="shared" si="4"/>
        <v>126500</v>
      </c>
      <c r="H11" s="41">
        <f t="shared" si="0"/>
        <v>1670500</v>
      </c>
      <c r="I11" s="41">
        <f t="shared" si="2"/>
        <v>285350</v>
      </c>
      <c r="J11" s="41">
        <f t="shared" si="1"/>
        <v>1955850</v>
      </c>
      <c r="K11" s="41">
        <f t="shared" si="3"/>
        <v>160194.96290119679</v>
      </c>
      <c r="L11" s="41">
        <f t="shared" si="5"/>
        <v>150450</v>
      </c>
      <c r="M11">
        <v>2032</v>
      </c>
      <c r="N11">
        <v>7</v>
      </c>
    </row>
    <row r="12" spans="4:14">
      <c r="D12">
        <v>8</v>
      </c>
      <c r="E12">
        <v>2033</v>
      </c>
      <c r="F12" s="41">
        <f t="shared" si="4"/>
        <v>136000</v>
      </c>
      <c r="G12" s="41">
        <f t="shared" si="4"/>
        <v>134000</v>
      </c>
      <c r="H12" s="41">
        <f t="shared" si="0"/>
        <v>1768000</v>
      </c>
      <c r="I12" s="41">
        <f t="shared" si="2"/>
        <v>285350</v>
      </c>
      <c r="J12" s="41">
        <f t="shared" si="1"/>
        <v>2053350</v>
      </c>
      <c r="K12" s="41">
        <f t="shared" si="3"/>
        <v>173010.55993329253</v>
      </c>
      <c r="L12" s="41">
        <f t="shared" si="5"/>
        <v>157950</v>
      </c>
      <c r="M12">
        <v>2033</v>
      </c>
      <c r="N12">
        <v>8</v>
      </c>
    </row>
    <row r="13" spans="4:14">
      <c r="D13">
        <v>9</v>
      </c>
      <c r="E13">
        <v>2034</v>
      </c>
      <c r="F13" s="41">
        <f t="shared" si="4"/>
        <v>143500</v>
      </c>
      <c r="G13" s="41">
        <f t="shared" si="4"/>
        <v>141500</v>
      </c>
      <c r="H13" s="41">
        <f t="shared" si="0"/>
        <v>1865500</v>
      </c>
      <c r="I13" s="41">
        <f t="shared" si="2"/>
        <v>285350</v>
      </c>
      <c r="J13" s="41">
        <f t="shared" si="1"/>
        <v>2150850</v>
      </c>
      <c r="K13" s="41">
        <f t="shared" si="3"/>
        <v>186851.40472795593</v>
      </c>
      <c r="L13" s="41">
        <f t="shared" si="5"/>
        <v>165450</v>
      </c>
      <c r="M13">
        <v>2034</v>
      </c>
      <c r="N13">
        <v>9</v>
      </c>
    </row>
    <row r="14" spans="4:14">
      <c r="D14">
        <v>10</v>
      </c>
      <c r="E14">
        <v>2035</v>
      </c>
      <c r="F14" s="41">
        <f t="shared" si="4"/>
        <v>151000</v>
      </c>
      <c r="G14" s="41">
        <f t="shared" si="4"/>
        <v>149000</v>
      </c>
      <c r="H14" s="41">
        <f t="shared" si="0"/>
        <v>1963000</v>
      </c>
      <c r="I14" s="41">
        <f t="shared" si="2"/>
        <v>285350</v>
      </c>
      <c r="J14" s="41">
        <f t="shared" si="1"/>
        <v>2248350</v>
      </c>
      <c r="K14" s="41">
        <f t="shared" si="3"/>
        <v>201799.51710619242</v>
      </c>
      <c r="L14" s="41">
        <f t="shared" si="5"/>
        <v>172950</v>
      </c>
      <c r="M14">
        <v>2035</v>
      </c>
      <c r="N14">
        <v>10</v>
      </c>
    </row>
    <row r="20" spans="6:6">
      <c r="F20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9E43-177E-4F64-BA71-6D6BC51E3C83}">
  <dimension ref="A3:I39"/>
  <sheetViews>
    <sheetView tabSelected="1" topLeftCell="A19" workbookViewId="0">
      <selection activeCell="O28" sqref="O28"/>
    </sheetView>
  </sheetViews>
  <sheetFormatPr defaultRowHeight="14.4"/>
  <cols>
    <col min="1" max="1" width="22.109375" customWidth="1"/>
    <col min="5" max="5" width="17.5546875" bestFit="1" customWidth="1"/>
  </cols>
  <sheetData>
    <row r="3" spans="2:5">
      <c r="B3" t="s">
        <v>61</v>
      </c>
    </row>
    <row r="4" spans="2:5">
      <c r="B4" t="s">
        <v>80</v>
      </c>
      <c r="C4" s="42" t="s">
        <v>56</v>
      </c>
      <c r="D4" s="42" t="s">
        <v>60</v>
      </c>
      <c r="E4" s="42" t="s">
        <v>81</v>
      </c>
    </row>
    <row r="5" spans="2:5">
      <c r="B5" t="s">
        <v>57</v>
      </c>
      <c r="D5" s="42" t="s">
        <v>60</v>
      </c>
    </row>
    <row r="6" spans="2:5">
      <c r="B6" t="s">
        <v>58</v>
      </c>
      <c r="D6" s="42" t="s">
        <v>60</v>
      </c>
    </row>
    <row r="7" spans="2:5">
      <c r="B7" t="s">
        <v>59</v>
      </c>
      <c r="C7" s="42" t="s">
        <v>56</v>
      </c>
      <c r="D7" s="42" t="s">
        <v>60</v>
      </c>
    </row>
    <row r="8" spans="2:5">
      <c r="B8" t="s">
        <v>70</v>
      </c>
      <c r="D8" s="42" t="s">
        <v>60</v>
      </c>
    </row>
    <row r="9" spans="2:5">
      <c r="B9" s="49" t="s">
        <v>77</v>
      </c>
      <c r="D9" s="42" t="s">
        <v>60</v>
      </c>
    </row>
    <row r="10" spans="2:5">
      <c r="B10" t="s">
        <v>78</v>
      </c>
      <c r="D10" s="42" t="s">
        <v>60</v>
      </c>
    </row>
    <row r="11" spans="2:5">
      <c r="B11" t="s">
        <v>79</v>
      </c>
      <c r="D11" s="42" t="s">
        <v>60</v>
      </c>
    </row>
    <row r="12" spans="2:5">
      <c r="B12" t="s">
        <v>84</v>
      </c>
      <c r="D12" s="42" t="s">
        <v>60</v>
      </c>
    </row>
    <row r="13" spans="2:5">
      <c r="B13" t="s">
        <v>66</v>
      </c>
    </row>
    <row r="14" spans="2:5">
      <c r="B14" t="s">
        <v>67</v>
      </c>
      <c r="E14" s="48" t="s">
        <v>71</v>
      </c>
    </row>
    <row r="18" spans="1:9">
      <c r="A18" s="43">
        <v>45872</v>
      </c>
      <c r="B18" s="44" t="s">
        <v>63</v>
      </c>
      <c r="C18" s="45"/>
      <c r="D18" s="45"/>
      <c r="E18" s="45"/>
      <c r="F18" s="45"/>
      <c r="G18" s="45"/>
      <c r="H18" s="45"/>
      <c r="I18" s="45"/>
    </row>
    <row r="19" spans="1:9">
      <c r="A19" s="45"/>
      <c r="B19" s="45" t="s">
        <v>62</v>
      </c>
      <c r="C19" s="45"/>
      <c r="D19" s="45"/>
      <c r="E19" s="45"/>
      <c r="F19" s="45"/>
      <c r="G19" s="45"/>
      <c r="H19" s="45"/>
      <c r="I19" s="45"/>
    </row>
    <row r="21" spans="1:9">
      <c r="A21" s="43">
        <v>45872</v>
      </c>
      <c r="B21" s="47" t="s">
        <v>65</v>
      </c>
      <c r="C21" s="46"/>
      <c r="D21" s="46"/>
      <c r="E21" s="46"/>
      <c r="F21" s="46"/>
      <c r="G21" s="46"/>
      <c r="H21" s="46"/>
      <c r="I21" s="46"/>
    </row>
    <row r="22" spans="1:9">
      <c r="A22" s="46"/>
      <c r="B22" s="46" t="s">
        <v>64</v>
      </c>
      <c r="C22" s="46"/>
      <c r="D22" s="46"/>
      <c r="E22" s="46"/>
      <c r="F22" s="46"/>
      <c r="G22" s="46"/>
      <c r="H22" s="46"/>
      <c r="I22" s="46"/>
    </row>
    <row r="25" spans="1:9">
      <c r="B25" t="s">
        <v>69</v>
      </c>
    </row>
    <row r="26" spans="1:9">
      <c r="B26" t="s">
        <v>68</v>
      </c>
    </row>
    <row r="28" spans="1:9">
      <c r="A28" s="50" t="s">
        <v>85</v>
      </c>
      <c r="B28" s="50" t="s">
        <v>72</v>
      </c>
      <c r="C28" s="50"/>
      <c r="D28" s="50"/>
      <c r="E28" s="50"/>
      <c r="F28" s="50"/>
      <c r="G28" s="50"/>
      <c r="H28" s="50"/>
    </row>
    <row r="29" spans="1:9">
      <c r="A29" s="50"/>
      <c r="B29" s="50" t="s">
        <v>72</v>
      </c>
      <c r="C29" s="50"/>
      <c r="D29" s="50"/>
      <c r="E29" s="50"/>
      <c r="F29" s="50"/>
      <c r="G29" s="50"/>
      <c r="H29" s="50"/>
    </row>
    <row r="30" spans="1:9">
      <c r="A30" t="s">
        <v>87</v>
      </c>
      <c r="B30" t="s">
        <v>86</v>
      </c>
    </row>
    <row r="32" spans="1:9">
      <c r="A32" t="s">
        <v>73</v>
      </c>
      <c r="B32" t="s">
        <v>74</v>
      </c>
    </row>
    <row r="33" spans="1:2">
      <c r="B33" t="s">
        <v>74</v>
      </c>
    </row>
    <row r="35" spans="1:2">
      <c r="A35" t="s">
        <v>76</v>
      </c>
      <c r="B35" t="s">
        <v>75</v>
      </c>
    </row>
    <row r="39" spans="1:2">
      <c r="A39" t="s">
        <v>83</v>
      </c>
      <c r="B39" t="s">
        <v>82</v>
      </c>
    </row>
  </sheetData>
  <hyperlinks>
    <hyperlink ref="B18" r:id="rId1" xr:uid="{2FAD04E7-3923-4BCC-8005-70AFBD5B8D4C}"/>
    <hyperlink ref="B9" r:id="rId2" xr:uid="{0764347A-BB70-42A4-958A-6F36BB5BC8A4}"/>
  </hyperlinks>
  <pageMargins left="0.7" right="0.7" top="0.75" bottom="0.75" header="0.3" footer="0.3"/>
  <pageSetup paperSize="9" orientation="portrait" verticalDpi="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0" ma:contentTypeDescription="Create a new document." ma:contentTypeScope="" ma:versionID="e39e7e9e36de66d473ce04bb4ab2dbb8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9dc5994665da46609c24125788630d8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B20271-DBF4-4EBA-824D-0E74CCAA174D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16c05727-aa75-4e4a-9b5f-8a80a1165891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1af3243-3dd4-4a8d-8c0d-dd76da1f02a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B8A745B-63BA-4F9A-A6E5-C457B3F40D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1B5DC0-C7DA-4FC0-BFE2-1D1407D5E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</vt:lpstr>
      <vt:lpstr>Sheet1</vt:lpstr>
      <vt:lpstr>Sheet2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2018-10-01T01:21:37Z</dcterms:created>
  <dcterms:modified xsi:type="dcterms:W3CDTF">2026-08-18T08:51:18Z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